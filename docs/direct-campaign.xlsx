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Настройки" sheetId="1" state="visible" r:id="rId3"/>
    <sheet name="Объявления" sheetId="2" state="visible" r:id="rId4"/>
    <sheet name="Фразы" sheetId="3" state="visible" r:id="rId5"/>
    <sheet name="Минус-слова" sheetId="4" state="visible" r:id="rId6"/>
    <sheet name="Быстрые ссылки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<sst xmlns="http://schemas.openxmlformats.org/spreadsheetml/2006/main" count="1147" uniqueCount="454">
  <si>
    <t xml:space="preserve">Параметр</t>
  </si>
  <si>
    <t xml:space="preserve">Значение</t>
  </si>
  <si>
    <t xml:space="preserve">Пояснение</t>
  </si>
  <si>
    <t xml:space="preserve">Адрес лендинга</t>
  </si>
  <si>
    <t xml:space="preserve">https://renal-auto.asia:8443/port</t>
  </si>
  <si>
    <t xml:space="preserve">Жёлтые ячейки можно менять. Ссылки на листе «Объявления» собираются из этого адреса формулой. Лучше перевести сайт на обычный https без :8443 — нестандартный порт в рекламе снижает доверие и блокируется в части офисных сетей.</t>
  </si>
  <si>
    <t xml:space="preserve">UTM-метки</t>
  </si>
  <si>
    <t xml:space="preserve">utm_source=yandex&amp;utm_medium=cpc&amp;utm_campaign={campaign_id}&amp;utm_content={ad_id}&amp;utm_term={keyword}</t>
  </si>
  <si>
    <t xml:space="preserve">{…} — динамические параметры Директа, подставятся сами.</t>
  </si>
  <si>
    <t xml:space="preserve">Тип кампании</t>
  </si>
  <si>
    <t xml:space="preserve">Единая перфоманс-кампания</t>
  </si>
  <si>
    <t xml:space="preserve">Для старта — только поиск: в «Местах показа» отключите сети, пока не наберётся статистика.</t>
  </si>
  <si>
    <t xml:space="preserve">Регион показа</t>
  </si>
  <si>
    <t xml:space="preserve">Россия</t>
  </si>
  <si>
    <t xml:space="preserve">Допущение: возим по всей России. Если хотите начать с Дальнего Востока и Сибири — сузьте здесь.</t>
  </si>
  <si>
    <t xml:space="preserve">Стратегия на первые 2 недели</t>
  </si>
  <si>
    <t xml:space="preserve">Максимум кликов, недельный бюджет</t>
  </si>
  <si>
    <t xml:space="preserve">После 10+ заявок в неделю — переключить на «Максимум конверсий» по цели «lead».</t>
  </si>
  <si>
    <t xml:space="preserve">Недельный бюджет теста, ₽</t>
  </si>
  <si>
    <t xml:space="preserve">Допущение для теста, не рекомендация по итоговому бюджету — поменяйте под себя.</t>
  </si>
  <si>
    <t xml:space="preserve">Счётчик Метрики</t>
  </si>
  <si>
    <t xml:space="preserve">Уже стоит на лендинге.</t>
  </si>
  <si>
    <t xml:space="preserve">Цель для оптимизации</t>
  </si>
  <si>
    <t xml:space="preserve">lead — отправленная заявка</t>
  </si>
  <si>
    <t xml:space="preserve">Другие цели лендинга: car_click, car_trip, form_open, max, reviews_2gis — для анализа, не для оптимизации.</t>
  </si>
  <si>
    <t xml:space="preserve">Расписание</t>
  </si>
  <si>
    <t xml:space="preserve">Ежедневно 8:00–23:00</t>
  </si>
  <si>
    <t xml:space="preserve">По времени региона показа.</t>
  </si>
  <si>
    <t xml:space="preserve">Минус-слова</t>
  </si>
  <si>
    <t xml:space="preserve">лист «Минус-слова»</t>
  </si>
  <si>
    <t xml:space="preserve">Добавить на уровень кампании целиком.</t>
  </si>
  <si>
    <t xml:space="preserve">Быстрые ссылки и уточнения</t>
  </si>
  <si>
    <t xml:space="preserve">лист «Быстрые ссылки»</t>
  </si>
  <si>
    <t xml:space="preserve">Один набор на все группы.</t>
  </si>
  <si>
    <t xml:space="preserve">Проверка длины</t>
  </si>
  <si>
    <t xml:space="preserve">столбцы «Длина» на листе «Объявления»</t>
  </si>
  <si>
    <t xml:space="preserve">Красная заливка — текст длиннее лимита Директа (заголовок 1 — 56, заголовок 2 — 30, текст — 81, отображаемая ссылка — 20).</t>
  </si>
  <si>
    <t xml:space="preserve">Кампания</t>
  </si>
  <si>
    <t xml:space="preserve">Группа</t>
  </si>
  <si>
    <t xml:space="preserve">Вариант</t>
  </si>
  <si>
    <t xml:space="preserve">Заголовок 1</t>
  </si>
  <si>
    <t xml:space="preserve">Длина</t>
  </si>
  <si>
    <t xml:space="preserve">Заголовок 2</t>
  </si>
  <si>
    <t xml:space="preserve">Текст</t>
  </si>
  <si>
    <t xml:space="preserve">Отображаемая ссылка</t>
  </si>
  <si>
    <t xml:space="preserve">?model=</t>
  </si>
  <si>
    <t xml:space="preserve">Ссылка (формула)</t>
  </si>
  <si>
    <t xml:space="preserve">Корея — модели</t>
  </si>
  <si>
    <t xml:space="preserve">Kia K5</t>
  </si>
  <si>
    <t xml:space="preserve">А</t>
  </si>
  <si>
    <t xml:space="preserve">Kia K5 из Кореи — подберём оптимальный вариант</t>
  </si>
  <si>
    <t xml:space="preserve">Комиссия до 50 000 ₽</t>
  </si>
  <si>
    <t xml:space="preserve">Сравним объявления, проверим историю и проходимость в РФ. Цены онлайн в рублях.</t>
  </si>
  <si>
    <t xml:space="preserve">Kia-K5</t>
  </si>
  <si>
    <t xml:space="preserve">K5</t>
  </si>
  <si>
    <t xml:space="preserve">Б</t>
  </si>
  <si>
    <t xml:space="preserve">Kia K5 из Кореи: проверим историю до покупки</t>
  </si>
  <si>
    <t xml:space="preserve">Агентский договор</t>
  </si>
  <si>
    <t xml:space="preserve">Реальные объявления с ценой в рублях. Посмотрите, как машина поедет к вам.</t>
  </si>
  <si>
    <t xml:space="preserve">Kia Sportage</t>
  </si>
  <si>
    <t xml:space="preserve">Kia Sportage из Кореи — подберём оптимальный вариант</t>
  </si>
  <si>
    <t xml:space="preserve">Kia-Sportage</t>
  </si>
  <si>
    <t xml:space="preserve">Sportage</t>
  </si>
  <si>
    <t xml:space="preserve">Kia Sportage из Кореи: проверим историю до покупки</t>
  </si>
  <si>
    <t xml:space="preserve">Kia Sorento</t>
  </si>
  <si>
    <t xml:space="preserve">Kia Sorento из Кореи — подберём оптимальный вариант</t>
  </si>
  <si>
    <t xml:space="preserve">Kia-Sorento</t>
  </si>
  <si>
    <t xml:space="preserve">Sorento</t>
  </si>
  <si>
    <t xml:space="preserve">Kia Sorento из Кореи: проверим историю до покупки</t>
  </si>
  <si>
    <t xml:space="preserve">Kia Seltos</t>
  </si>
  <si>
    <t xml:space="preserve">Kia Seltos из Кореи — подберём оптимальный вариант</t>
  </si>
  <si>
    <t xml:space="preserve">Kia-Seltos</t>
  </si>
  <si>
    <t xml:space="preserve">Seltos</t>
  </si>
  <si>
    <t xml:space="preserve">Kia Seltos из Кореи: проверим историю до покупки</t>
  </si>
  <si>
    <t xml:space="preserve">Kia Carnival</t>
  </si>
  <si>
    <t xml:space="preserve">Kia Carnival из Кореи — подберём оптимальный вариант</t>
  </si>
  <si>
    <t xml:space="preserve">Kia-Carnival</t>
  </si>
  <si>
    <t xml:space="preserve">Carnival</t>
  </si>
  <si>
    <t xml:space="preserve">Kia Carnival из Кореи: проверим историю до покупки</t>
  </si>
  <si>
    <t xml:space="preserve">Kia Ray</t>
  </si>
  <si>
    <t xml:space="preserve">Kia Ray из Кореи — подберём оптимальный вариант</t>
  </si>
  <si>
    <t xml:space="preserve">Kia-Ray</t>
  </si>
  <si>
    <t xml:space="preserve">Ray</t>
  </si>
  <si>
    <t xml:space="preserve">Kia Ray из Кореи: проверим историю до покупки</t>
  </si>
  <si>
    <t xml:space="preserve">Hyundai Tucson</t>
  </si>
  <si>
    <t xml:space="preserve">Hyundai Tucson из Кореи — подберём оптимальный вариант</t>
  </si>
  <si>
    <t xml:space="preserve">Hyundai-Tucson</t>
  </si>
  <si>
    <t xml:space="preserve">Tucson</t>
  </si>
  <si>
    <t xml:space="preserve">Hyundai Tucson из Кореи: проверим историю до покупки</t>
  </si>
  <si>
    <t xml:space="preserve">Hyundai Santa Fe</t>
  </si>
  <si>
    <t xml:space="preserve">Hyundai Santa Fe из Кореи — подберём оптимальный вариант</t>
  </si>
  <si>
    <t xml:space="preserve">Hyundai-Santa-Fe</t>
  </si>
  <si>
    <t xml:space="preserve">Santa Fe</t>
  </si>
  <si>
    <t xml:space="preserve">Hyundai Santa Fe из Кореи: проверим историю до покупки</t>
  </si>
  <si>
    <t xml:space="preserve">Hyundai Sonata</t>
  </si>
  <si>
    <t xml:space="preserve">Hyundai Sonata из Кореи — подберём оптимальный вариант</t>
  </si>
  <si>
    <t xml:space="preserve">Hyundai-Sonata</t>
  </si>
  <si>
    <t xml:space="preserve">Sonata</t>
  </si>
  <si>
    <t xml:space="preserve">Hyundai Sonata из Кореи: проверим историю до покупки</t>
  </si>
  <si>
    <t xml:space="preserve">Hyundai Avante</t>
  </si>
  <si>
    <t xml:space="preserve">Hyundai Avante из Кореи — подберём оптимальный вариант</t>
  </si>
  <si>
    <t xml:space="preserve">Hyundai-Avante</t>
  </si>
  <si>
    <t xml:space="preserve">Avante</t>
  </si>
  <si>
    <t xml:space="preserve">Hyundai Avante из Кореи: проверим историю до покупки</t>
  </si>
  <si>
    <t xml:space="preserve">Genesis G80</t>
  </si>
  <si>
    <t xml:space="preserve">Genesis G80 из Кореи — подберём оптимальный вариант</t>
  </si>
  <si>
    <t xml:space="preserve">Genesis-G80</t>
  </si>
  <si>
    <t xml:space="preserve">G80</t>
  </si>
  <si>
    <t xml:space="preserve">Genesis G80 из Кореи: проверим историю до покупки</t>
  </si>
  <si>
    <t xml:space="preserve">Китай — модели</t>
  </si>
  <si>
    <t xml:space="preserve">Geely Monjaro</t>
  </si>
  <si>
    <t xml:space="preserve">Geely Monjaro из Китая — подберём оптимальный вариант</t>
  </si>
  <si>
    <t xml:space="preserve">Geely-Monjaro</t>
  </si>
  <si>
    <t xml:space="preserve">Monjaro</t>
  </si>
  <si>
    <t xml:space="preserve">Geely Monjaro из Китая: проверим историю до покупки</t>
  </si>
  <si>
    <t xml:space="preserve">Geely Coolray</t>
  </si>
  <si>
    <t xml:space="preserve">Geely Coolray из Китая — подберём оптимальный вариант</t>
  </si>
  <si>
    <t xml:space="preserve">Geely-Coolray</t>
  </si>
  <si>
    <t xml:space="preserve">Coolray</t>
  </si>
  <si>
    <t xml:space="preserve">Geely Coolray из Китая: проверим историю до покупки</t>
  </si>
  <si>
    <t xml:space="preserve">Haval Jolion</t>
  </si>
  <si>
    <t xml:space="preserve">Haval Jolion из Китая — подберём оптимальный вариант</t>
  </si>
  <si>
    <t xml:space="preserve">Haval-Jolion</t>
  </si>
  <si>
    <t xml:space="preserve">Jolion</t>
  </si>
  <si>
    <t xml:space="preserve">Haval Jolion из Китая: проверим историю до покупки</t>
  </si>
  <si>
    <t xml:space="preserve">Haval Dargo</t>
  </si>
  <si>
    <t xml:space="preserve">Haval Dargo из Китая — подберём оптимальный вариант</t>
  </si>
  <si>
    <t xml:space="preserve">Haval-Dargo</t>
  </si>
  <si>
    <t xml:space="preserve">Dargo</t>
  </si>
  <si>
    <t xml:space="preserve">Haval Dargo из Китая: проверим историю до покупки</t>
  </si>
  <si>
    <t xml:space="preserve">Chery Tiggo 7 Pro</t>
  </si>
  <si>
    <t xml:space="preserve">Chery Tiggo 7 Pro из Китая — подберём вариант</t>
  </si>
  <si>
    <t xml:space="preserve">Chery-Tiggo-7</t>
  </si>
  <si>
    <t xml:space="preserve">Tiggo 7</t>
  </si>
  <si>
    <t xml:space="preserve">Chery Tiggo 7 Pro из Китая: проверим историю до покупки</t>
  </si>
  <si>
    <t xml:space="preserve">Chery Tiggo 8</t>
  </si>
  <si>
    <t xml:space="preserve">Chery Tiggo 8 из Китая — подберём оптимальный вариант</t>
  </si>
  <si>
    <t xml:space="preserve">Chery-Tiggo-8</t>
  </si>
  <si>
    <t xml:space="preserve">Tiggo 8</t>
  </si>
  <si>
    <t xml:space="preserve">Chery Tiggo 8 из Китая: проверим историю до покупки</t>
  </si>
  <si>
    <t xml:space="preserve">Changan CS75 Plus</t>
  </si>
  <si>
    <t xml:space="preserve">Changan CS75 Plus из Китая — подберём вариант</t>
  </si>
  <si>
    <t xml:space="preserve">Changan-CS75</t>
  </si>
  <si>
    <t xml:space="preserve">CS75</t>
  </si>
  <si>
    <t xml:space="preserve">Changan CS75 Plus из Китая: проверим историю до покупки</t>
  </si>
  <si>
    <t xml:space="preserve">Changan UNI-K</t>
  </si>
  <si>
    <t xml:space="preserve">Changan UNI-K из Китая — подберём оптимальный вариант</t>
  </si>
  <si>
    <t xml:space="preserve">Changan-UNI-K</t>
  </si>
  <si>
    <t xml:space="preserve">UNI-K</t>
  </si>
  <si>
    <t xml:space="preserve">Changan UNI-K из Китая: проверим историю до покупки</t>
  </si>
  <si>
    <t xml:space="preserve">Общие</t>
  </si>
  <si>
    <t xml:space="preserve">Авто из Кореи</t>
  </si>
  <si>
    <t xml:space="preserve">Авто из Кореи — подберём оптимальный вариант</t>
  </si>
  <si>
    <t xml:space="preserve">Авто-из-Кореи</t>
  </si>
  <si>
    <t xml:space="preserve">Авто из Кореи: проверим историю до покупки</t>
  </si>
  <si>
    <t xml:space="preserve">Авто из Китая</t>
  </si>
  <si>
    <t xml:space="preserve">Авто из Китая — подберём оптимальный вариант</t>
  </si>
  <si>
    <t xml:space="preserve">Авто-из-Китая</t>
  </si>
  <si>
    <t xml:space="preserve">Авто из Китая: проверим историю до покупки</t>
  </si>
  <si>
    <t xml:space="preserve">Подбор авто из Кореи и Китая</t>
  </si>
  <si>
    <t xml:space="preserve">Авто из Кореи и Китая — подберём оптимальный вариант</t>
  </si>
  <si>
    <t xml:space="preserve">Подбор-авто</t>
  </si>
  <si>
    <t xml:space="preserve">Авто из Кореи и Китая: проверим историю до покупки</t>
  </si>
  <si>
    <t xml:space="preserve">Ключевая фраза</t>
  </si>
  <si>
    <t xml:space="preserve">киа к5 из кореи</t>
  </si>
  <si>
    <t xml:space="preserve">купить киа к5 из кореи</t>
  </si>
  <si>
    <t xml:space="preserve">киа к5 из кореи цена</t>
  </si>
  <si>
    <t xml:space="preserve">заказать киа к5 из кореи</t>
  </si>
  <si>
    <t xml:space="preserve">пригнать киа к5 из кореи</t>
  </si>
  <si>
    <t xml:space="preserve">kia k5 из кореи</t>
  </si>
  <si>
    <t xml:space="preserve">купить kia k5 из кореи</t>
  </si>
  <si>
    <t xml:space="preserve">kia k5 из кореи цена</t>
  </si>
  <si>
    <t xml:space="preserve">заказать kia k5 из кореи</t>
  </si>
  <si>
    <t xml:space="preserve">пригнать kia k5 из кореи</t>
  </si>
  <si>
    <t xml:space="preserve">киа оптима к5 из кореи</t>
  </si>
  <si>
    <t xml:space="preserve">купить киа оптима к5 из кореи</t>
  </si>
  <si>
    <t xml:space="preserve">киа оптима к5 из кореи цена</t>
  </si>
  <si>
    <t xml:space="preserve">заказать киа оптима к5 из кореи</t>
  </si>
  <si>
    <t xml:space="preserve">пригнать киа оптима к5 из кореи</t>
  </si>
  <si>
    <t xml:space="preserve">киа спортейдж из кореи</t>
  </si>
  <si>
    <t xml:space="preserve">купить киа спортейдж из кореи</t>
  </si>
  <si>
    <t xml:space="preserve">киа спортейдж из кореи цена</t>
  </si>
  <si>
    <t xml:space="preserve">заказать киа спортейдж из кореи</t>
  </si>
  <si>
    <t xml:space="preserve">пригнать киа спортейдж из кореи</t>
  </si>
  <si>
    <t xml:space="preserve">kia sportage из кореи</t>
  </si>
  <si>
    <t xml:space="preserve">купить kia sportage из кореи</t>
  </si>
  <si>
    <t xml:space="preserve">kia sportage из кореи цена</t>
  </si>
  <si>
    <t xml:space="preserve">заказать kia sportage из кореи</t>
  </si>
  <si>
    <t xml:space="preserve">пригнать kia sportage из кореи</t>
  </si>
  <si>
    <t xml:space="preserve">киа соренто из кореи</t>
  </si>
  <si>
    <t xml:space="preserve">купить киа соренто из кореи</t>
  </si>
  <si>
    <t xml:space="preserve">киа соренто из кореи цена</t>
  </si>
  <si>
    <t xml:space="preserve">заказать киа соренто из кореи</t>
  </si>
  <si>
    <t xml:space="preserve">пригнать киа соренто из кореи</t>
  </si>
  <si>
    <t xml:space="preserve">kia sorento из кореи</t>
  </si>
  <si>
    <t xml:space="preserve">купить kia sorento из кореи</t>
  </si>
  <si>
    <t xml:space="preserve">kia sorento из кореи цена</t>
  </si>
  <si>
    <t xml:space="preserve">заказать kia sorento из кореи</t>
  </si>
  <si>
    <t xml:space="preserve">пригнать kia sorento из кореи</t>
  </si>
  <si>
    <t xml:space="preserve">киа селтос из кореи</t>
  </si>
  <si>
    <t xml:space="preserve">купить киа селтос из кореи</t>
  </si>
  <si>
    <t xml:space="preserve">киа селтос из кореи цена</t>
  </si>
  <si>
    <t xml:space="preserve">заказать киа селтос из кореи</t>
  </si>
  <si>
    <t xml:space="preserve">пригнать киа селтос из кореи</t>
  </si>
  <si>
    <t xml:space="preserve">kia seltos из кореи</t>
  </si>
  <si>
    <t xml:space="preserve">купить kia seltos из кореи</t>
  </si>
  <si>
    <t xml:space="preserve">kia seltos из кореи цена</t>
  </si>
  <si>
    <t xml:space="preserve">заказать kia seltos из кореи</t>
  </si>
  <si>
    <t xml:space="preserve">пригнать kia seltos из кореи</t>
  </si>
  <si>
    <t xml:space="preserve">киа карнивал из кореи</t>
  </si>
  <si>
    <t xml:space="preserve">купить киа карнивал из кореи</t>
  </si>
  <si>
    <t xml:space="preserve">киа карнивал из кореи цена</t>
  </si>
  <si>
    <t xml:space="preserve">заказать киа карнивал из кореи</t>
  </si>
  <si>
    <t xml:space="preserve">пригнать киа карнивал из кореи</t>
  </si>
  <si>
    <t xml:space="preserve">kia carnival из кореи</t>
  </si>
  <si>
    <t xml:space="preserve">купить kia carnival из кореи</t>
  </si>
  <si>
    <t xml:space="preserve">kia carnival из кореи цена</t>
  </si>
  <si>
    <t xml:space="preserve">заказать kia carnival из кореи</t>
  </si>
  <si>
    <t xml:space="preserve">пригнать kia carnival из кореи</t>
  </si>
  <si>
    <t xml:space="preserve">киа рей из кореи</t>
  </si>
  <si>
    <t xml:space="preserve">купить киа рей из кореи</t>
  </si>
  <si>
    <t xml:space="preserve">киа рей из кореи цена</t>
  </si>
  <si>
    <t xml:space="preserve">заказать киа рей из кореи</t>
  </si>
  <si>
    <t xml:space="preserve">пригнать киа рей из кореи</t>
  </si>
  <si>
    <t xml:space="preserve">kia ray из кореи</t>
  </si>
  <si>
    <t xml:space="preserve">купить kia ray из кореи</t>
  </si>
  <si>
    <t xml:space="preserve">kia ray из кореи цена</t>
  </si>
  <si>
    <t xml:space="preserve">заказать kia ray из кореи</t>
  </si>
  <si>
    <t xml:space="preserve">пригнать kia ray из кореи</t>
  </si>
  <si>
    <t xml:space="preserve">хендай туссан из кореи</t>
  </si>
  <si>
    <t xml:space="preserve">купить хендай туссан из кореи</t>
  </si>
  <si>
    <t xml:space="preserve">хендай туссан из кореи цена</t>
  </si>
  <si>
    <t xml:space="preserve">заказать хендай туссан из кореи</t>
  </si>
  <si>
    <t xml:space="preserve">пригнать хендай туссан из кореи</t>
  </si>
  <si>
    <t xml:space="preserve">хендай туксон из кореи</t>
  </si>
  <si>
    <t xml:space="preserve">купить хендай туксон из кореи</t>
  </si>
  <si>
    <t xml:space="preserve">хендай туксон из кореи цена</t>
  </si>
  <si>
    <t xml:space="preserve">заказать хендай туксон из кореи</t>
  </si>
  <si>
    <t xml:space="preserve">пригнать хендай туксон из кореи</t>
  </si>
  <si>
    <t xml:space="preserve">hyundai tucson из кореи</t>
  </si>
  <si>
    <t xml:space="preserve">купить hyundai tucson из кореи</t>
  </si>
  <si>
    <t xml:space="preserve">hyundai tucson из кореи цена</t>
  </si>
  <si>
    <t xml:space="preserve">заказать hyundai tucson из кореи</t>
  </si>
  <si>
    <t xml:space="preserve">пригнать hyundai tucson из кореи</t>
  </si>
  <si>
    <t xml:space="preserve">хендай санта фе из кореи</t>
  </si>
  <si>
    <t xml:space="preserve">купить хендай санта фе из кореи</t>
  </si>
  <si>
    <t xml:space="preserve">хендай санта фе из кореи цена</t>
  </si>
  <si>
    <t xml:space="preserve">заказать хендай санта фе из кореи</t>
  </si>
  <si>
    <t xml:space="preserve">пригнать хендай санта фе из кореи</t>
  </si>
  <si>
    <t xml:space="preserve">hyundai santa fe из кореи</t>
  </si>
  <si>
    <t xml:space="preserve">купить hyundai santa fe из кореи</t>
  </si>
  <si>
    <t xml:space="preserve">hyundai santa fe из кореи цена</t>
  </si>
  <si>
    <t xml:space="preserve">заказать hyundai santa fe из кореи</t>
  </si>
  <si>
    <t xml:space="preserve">пригнать hyundai santa fe из кореи</t>
  </si>
  <si>
    <t xml:space="preserve">хендай соната из кореи</t>
  </si>
  <si>
    <t xml:space="preserve">купить хендай соната из кореи</t>
  </si>
  <si>
    <t xml:space="preserve">хендай соната из кореи цена</t>
  </si>
  <si>
    <t xml:space="preserve">заказать хендай соната из кореи</t>
  </si>
  <si>
    <t xml:space="preserve">пригнать хендай соната из кореи</t>
  </si>
  <si>
    <t xml:space="preserve">hyundai sonata из кореи</t>
  </si>
  <si>
    <t xml:space="preserve">купить hyundai sonata из кореи</t>
  </si>
  <si>
    <t xml:space="preserve">hyundai sonata из кореи цена</t>
  </si>
  <si>
    <t xml:space="preserve">заказать hyundai sonata из кореи</t>
  </si>
  <si>
    <t xml:space="preserve">пригнать hyundai sonata из кореи</t>
  </si>
  <si>
    <t xml:space="preserve">хендай аванте из кореи</t>
  </si>
  <si>
    <t xml:space="preserve">купить хендай аванте из кореи</t>
  </si>
  <si>
    <t xml:space="preserve">хендай аванте из кореи цена</t>
  </si>
  <si>
    <t xml:space="preserve">заказать хендай аванте из кореи</t>
  </si>
  <si>
    <t xml:space="preserve">пригнать хендай аванте из кореи</t>
  </si>
  <si>
    <t xml:space="preserve">hyundai avante из кореи</t>
  </si>
  <si>
    <t xml:space="preserve">купить hyundai avante из кореи</t>
  </si>
  <si>
    <t xml:space="preserve">hyundai avante из кореи цена</t>
  </si>
  <si>
    <t xml:space="preserve">заказать hyundai avante из кореи</t>
  </si>
  <si>
    <t xml:space="preserve">пригнать hyundai avante из кореи</t>
  </si>
  <si>
    <t xml:space="preserve">хендай элантра из кореи</t>
  </si>
  <si>
    <t xml:space="preserve">генезис g80 из кореи</t>
  </si>
  <si>
    <t xml:space="preserve">купить генезис g80 из кореи</t>
  </si>
  <si>
    <t xml:space="preserve">генезис g80 из кореи цена</t>
  </si>
  <si>
    <t xml:space="preserve">заказать генезис g80 из кореи</t>
  </si>
  <si>
    <t xml:space="preserve">пригнать генезис g80 из кореи</t>
  </si>
  <si>
    <t xml:space="preserve">genesis g80 из кореи</t>
  </si>
  <si>
    <t xml:space="preserve">купить genesis g80 из кореи</t>
  </si>
  <si>
    <t xml:space="preserve">genesis g80 из кореи цена</t>
  </si>
  <si>
    <t xml:space="preserve">заказать genesis g80 из кореи</t>
  </si>
  <si>
    <t xml:space="preserve">пригнать genesis g80 из кореи</t>
  </si>
  <si>
    <t xml:space="preserve">джили монжаро из китая</t>
  </si>
  <si>
    <t xml:space="preserve">купить джили монжаро из китая</t>
  </si>
  <si>
    <t xml:space="preserve">джили монжаро из китая цена</t>
  </si>
  <si>
    <t xml:space="preserve">заказать джили монжаро из китая</t>
  </si>
  <si>
    <t xml:space="preserve">пригнать джили монжаро из китая</t>
  </si>
  <si>
    <t xml:space="preserve">geely monjaro из китая</t>
  </si>
  <si>
    <t xml:space="preserve">купить geely monjaro из китая</t>
  </si>
  <si>
    <t xml:space="preserve">geely monjaro из китая цена</t>
  </si>
  <si>
    <t xml:space="preserve">заказать geely monjaro из китая</t>
  </si>
  <si>
    <t xml:space="preserve">пригнать geely monjaro из китая</t>
  </si>
  <si>
    <t xml:space="preserve">джили кулрей из китая</t>
  </si>
  <si>
    <t xml:space="preserve">купить джили кулрей из китая</t>
  </si>
  <si>
    <t xml:space="preserve">джили кулрей из китая цена</t>
  </si>
  <si>
    <t xml:space="preserve">заказать джили кулрей из китая</t>
  </si>
  <si>
    <t xml:space="preserve">пригнать джили кулрей из китая</t>
  </si>
  <si>
    <t xml:space="preserve">geely coolray из китая</t>
  </si>
  <si>
    <t xml:space="preserve">купить geely coolray из китая</t>
  </si>
  <si>
    <t xml:space="preserve">geely coolray из китая цена</t>
  </si>
  <si>
    <t xml:space="preserve">заказать geely coolray из китая</t>
  </si>
  <si>
    <t xml:space="preserve">пригнать geely coolray из китая</t>
  </si>
  <si>
    <t xml:space="preserve">хавал джолион из китая</t>
  </si>
  <si>
    <t xml:space="preserve">купить хавал джолион из китая</t>
  </si>
  <si>
    <t xml:space="preserve">хавал джолион из китая цена</t>
  </si>
  <si>
    <t xml:space="preserve">заказать хавал джолион из китая</t>
  </si>
  <si>
    <t xml:space="preserve">пригнать хавал джолион из китая</t>
  </si>
  <si>
    <t xml:space="preserve">haval jolion из китая</t>
  </si>
  <si>
    <t xml:space="preserve">купить haval jolion из китая</t>
  </si>
  <si>
    <t xml:space="preserve">haval jolion из китая цена</t>
  </si>
  <si>
    <t xml:space="preserve">заказать haval jolion из китая</t>
  </si>
  <si>
    <t xml:space="preserve">пригнать haval jolion из китая</t>
  </si>
  <si>
    <t xml:space="preserve">хавал дарго из китая</t>
  </si>
  <si>
    <t xml:space="preserve">купить хавал дарго из китая</t>
  </si>
  <si>
    <t xml:space="preserve">хавал дарго из китая цена</t>
  </si>
  <si>
    <t xml:space="preserve">заказать хавал дарго из китая</t>
  </si>
  <si>
    <t xml:space="preserve">пригнать хавал дарго из китая</t>
  </si>
  <si>
    <t xml:space="preserve">haval dargo из китая</t>
  </si>
  <si>
    <t xml:space="preserve">купить haval dargo из китая</t>
  </si>
  <si>
    <t xml:space="preserve">haval dargo из китая цена</t>
  </si>
  <si>
    <t xml:space="preserve">заказать haval dargo из китая</t>
  </si>
  <si>
    <t xml:space="preserve">пригнать haval dargo из китая</t>
  </si>
  <si>
    <t xml:space="preserve">чери тигго 7 из китая</t>
  </si>
  <si>
    <t xml:space="preserve">купить чери тигго 7 из китая</t>
  </si>
  <si>
    <t xml:space="preserve">чери тигго 7 из китая цена</t>
  </si>
  <si>
    <t xml:space="preserve">заказать чери тигго 7 из китая</t>
  </si>
  <si>
    <t xml:space="preserve">пригнать чери тигго 7 из китая</t>
  </si>
  <si>
    <t xml:space="preserve">chery tiggo 7 из китая</t>
  </si>
  <si>
    <t xml:space="preserve">купить chery tiggo 7 из китая</t>
  </si>
  <si>
    <t xml:space="preserve">chery tiggo 7 из китая цена</t>
  </si>
  <si>
    <t xml:space="preserve">заказать chery tiggo 7 из китая</t>
  </si>
  <si>
    <t xml:space="preserve">пригнать chery tiggo 7 из китая</t>
  </si>
  <si>
    <t xml:space="preserve">чери тигго 8 из китая</t>
  </si>
  <si>
    <t xml:space="preserve">купить чери тигго 8 из китая</t>
  </si>
  <si>
    <t xml:space="preserve">чери тигго 8 из китая цена</t>
  </si>
  <si>
    <t xml:space="preserve">заказать чери тигго 8 из китая</t>
  </si>
  <si>
    <t xml:space="preserve">пригнать чери тигго 8 из китая</t>
  </si>
  <si>
    <t xml:space="preserve">chery tiggo 8 из китая</t>
  </si>
  <si>
    <t xml:space="preserve">купить chery tiggo 8 из китая</t>
  </si>
  <si>
    <t xml:space="preserve">chery tiggo 8 из китая цена</t>
  </si>
  <si>
    <t xml:space="preserve">заказать chery tiggo 8 из китая</t>
  </si>
  <si>
    <t xml:space="preserve">пригнать chery tiggo 8 из китая</t>
  </si>
  <si>
    <t xml:space="preserve">чанган cs75 из китая</t>
  </si>
  <si>
    <t xml:space="preserve">купить чанган cs75 из китая</t>
  </si>
  <si>
    <t xml:space="preserve">чанган cs75 из китая цена</t>
  </si>
  <si>
    <t xml:space="preserve">заказать чанган cs75 из китая</t>
  </si>
  <si>
    <t xml:space="preserve">пригнать чанган cs75 из китая</t>
  </si>
  <si>
    <t xml:space="preserve">changan cs75 из китая</t>
  </si>
  <si>
    <t xml:space="preserve">купить changan cs75 из китая</t>
  </si>
  <si>
    <t xml:space="preserve">changan cs75 из китая цена</t>
  </si>
  <si>
    <t xml:space="preserve">заказать changan cs75 из китая</t>
  </si>
  <si>
    <t xml:space="preserve">пригнать changan cs75 из китая</t>
  </si>
  <si>
    <t xml:space="preserve">чанган юни к из китая</t>
  </si>
  <si>
    <t xml:space="preserve">купить чанган юни к из китая</t>
  </si>
  <si>
    <t xml:space="preserve">чанган юни к из китая цена</t>
  </si>
  <si>
    <t xml:space="preserve">заказать чанган юни к из китая</t>
  </si>
  <si>
    <t xml:space="preserve">пригнать чанган юни к из китая</t>
  </si>
  <si>
    <t xml:space="preserve">changan uni k из китая</t>
  </si>
  <si>
    <t xml:space="preserve">купить changan uni k из китая</t>
  </si>
  <si>
    <t xml:space="preserve">changan uni k из китая цена</t>
  </si>
  <si>
    <t xml:space="preserve">заказать changan uni k из китая</t>
  </si>
  <si>
    <t xml:space="preserve">пригнать changan uni k из китая</t>
  </si>
  <si>
    <t xml:space="preserve">авто из кореи</t>
  </si>
  <si>
    <t xml:space="preserve">купить авто из кореи</t>
  </si>
  <si>
    <t xml:space="preserve">заказать авто из кореи</t>
  </si>
  <si>
    <t xml:space="preserve">пригнать авто из кореи</t>
  </si>
  <si>
    <t xml:space="preserve">машина из кореи</t>
  </si>
  <si>
    <t xml:space="preserve">авто из кореи под ключ</t>
  </si>
  <si>
    <t xml:space="preserve">доставка авто из кореи</t>
  </si>
  <si>
    <t xml:space="preserve">автомобили из южной кореи</t>
  </si>
  <si>
    <t xml:space="preserve">авто из китая</t>
  </si>
  <si>
    <t xml:space="preserve">купить авто из китая</t>
  </si>
  <si>
    <t xml:space="preserve">заказать авто из китая</t>
  </si>
  <si>
    <t xml:space="preserve">пригнать авто из китая</t>
  </si>
  <si>
    <t xml:space="preserve">машина из китая</t>
  </si>
  <si>
    <t xml:space="preserve">авто из китая под ключ</t>
  </si>
  <si>
    <t xml:space="preserve">доставка авто из китая</t>
  </si>
  <si>
    <t xml:space="preserve">подбор авто из кореи</t>
  </si>
  <si>
    <t xml:space="preserve">подбор авто из китая</t>
  </si>
  <si>
    <t xml:space="preserve">авто из кореи и китая</t>
  </si>
  <si>
    <t xml:space="preserve">растаможка авто из кореи</t>
  </si>
  <si>
    <t xml:space="preserve">расчет авто из кореи</t>
  </si>
  <si>
    <t xml:space="preserve">калькулятор авто из кореи</t>
  </si>
  <si>
    <t xml:space="preserve">калькулятор растаможки авто из китая</t>
  </si>
  <si>
    <t xml:space="preserve">Фразы с «под ключ» оставлены: так ищут. В текстах объявлений «под ключ» не используем — цена ориентировочная.</t>
  </si>
  <si>
    <t xml:space="preserve">Минус-слово</t>
  </si>
  <si>
    <t xml:space="preserve">Зачем</t>
  </si>
  <si>
    <t xml:space="preserve">запчасти</t>
  </si>
  <si>
    <t xml:space="preserve">не продаём запчасти</t>
  </si>
  <si>
    <t xml:space="preserve">разборка</t>
  </si>
  <si>
    <t xml:space="preserve">разбор</t>
  </si>
  <si>
    <t xml:space="preserve">ремонт</t>
  </si>
  <si>
    <t xml:space="preserve">сервис</t>
  </si>
  <si>
    <t xml:space="preserve">шины</t>
  </si>
  <si>
    <t xml:space="preserve">диски</t>
  </si>
  <si>
    <t xml:space="preserve">тюнинг</t>
  </si>
  <si>
    <t xml:space="preserve">аренда</t>
  </si>
  <si>
    <t xml:space="preserve">не сдаём машины</t>
  </si>
  <si>
    <t xml:space="preserve">прокат</t>
  </si>
  <si>
    <t xml:space="preserve">такси</t>
  </si>
  <si>
    <t xml:space="preserve">лизинг</t>
  </si>
  <si>
    <t xml:space="preserve">не оформляем лизинг — уберите, если появится</t>
  </si>
  <si>
    <t xml:space="preserve">вакансии</t>
  </si>
  <si>
    <t xml:space="preserve">не ищем сотрудников</t>
  </si>
  <si>
    <t xml:space="preserve">работа</t>
  </si>
  <si>
    <t xml:space="preserve">водитель</t>
  </si>
  <si>
    <t xml:space="preserve">игрушка</t>
  </si>
  <si>
    <t xml:space="preserve">модели и игры</t>
  </si>
  <si>
    <t xml:space="preserve">масштабная</t>
  </si>
  <si>
    <t xml:space="preserve">гта</t>
  </si>
  <si>
    <t xml:space="preserve">игра</t>
  </si>
  <si>
    <t xml:space="preserve">скачать</t>
  </si>
  <si>
    <t xml:space="preserve">мод</t>
  </si>
  <si>
    <t xml:space="preserve">раскраска</t>
  </si>
  <si>
    <t xml:space="preserve">обзор</t>
  </si>
  <si>
    <t xml:space="preserve">ищут информацию, а не покупку</t>
  </si>
  <si>
    <t xml:space="preserve">тест-драйв</t>
  </si>
  <si>
    <t xml:space="preserve">характеристики</t>
  </si>
  <si>
    <t xml:space="preserve">расход</t>
  </si>
  <si>
    <t xml:space="preserve">габариты</t>
  </si>
  <si>
    <t xml:space="preserve">японии</t>
  </si>
  <si>
    <t xml:space="preserve">не возим из Японии</t>
  </si>
  <si>
    <t xml:space="preserve">сша</t>
  </si>
  <si>
    <t xml:space="preserve">не возим из США</t>
  </si>
  <si>
    <t xml:space="preserve">европы</t>
  </si>
  <si>
    <t xml:space="preserve">германии</t>
  </si>
  <si>
    <t xml:space="preserve">оаэ</t>
  </si>
  <si>
    <t xml:space="preserve">грузии</t>
  </si>
  <si>
    <t xml:space="preserve">авито</t>
  </si>
  <si>
    <t xml:space="preserve">ищут на площадках, не у нас</t>
  </si>
  <si>
    <t xml:space="preserve">дром</t>
  </si>
  <si>
    <t xml:space="preserve">автору</t>
  </si>
  <si>
    <t xml:space="preserve">Тип</t>
  </si>
  <si>
    <t xml:space="preserve">Заголовок</t>
  </si>
  <si>
    <t xml:space="preserve">Описание</t>
  </si>
  <si>
    <t xml:space="preserve">Якорь на странице</t>
  </si>
  <si>
    <t xml:space="preserve">Быстрая ссылка</t>
  </si>
  <si>
    <t xml:space="preserve">Объявления онлайн</t>
  </si>
  <si>
    <t xml:space="preserve">Свежие машины из Кореи и Китая с ценой в рублях</t>
  </si>
  <si>
    <t xml:space="preserve">#terminal</t>
  </si>
  <si>
    <t xml:space="preserve">Как машина поедет к вам</t>
  </si>
  <si>
    <t xml:space="preserve">Покажем путь от площадки до вашего города</t>
  </si>
  <si>
    <t xml:space="preserve">#route</t>
  </si>
  <si>
    <t xml:space="preserve">Отзывы и выдачи</t>
  </si>
  <si>
    <t xml:space="preserve">Видео с выдач и отзывы клиентов в 2ГИС</t>
  </si>
  <si>
    <t xml:space="preserve">#vydachi</t>
  </si>
  <si>
    <t xml:space="preserve">Проверьте нас</t>
  </si>
  <si>
    <t xml:space="preserve">Юрлицо, офис во Владивостоке, договор</t>
  </si>
  <si>
    <t xml:space="preserve">Уточнение</t>
  </si>
  <si>
    <t xml:space="preserve">Проверка истории и VIN</t>
  </si>
  <si>
    <t xml:space="preserve">Видео с площадки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</si>
</sst>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B5C8F"/>
        <bgColor rgb="FF008080"/>
      </patternFill>
    </fill>
    <fill>
      <patternFill patternType="solid">
        <fgColor rgb="FFFFF2B3"/>
        <bgColor rgb="FFFFFF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D0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B3"/>
      <rgbColor rgb="FFCCFFFF"/>
      <rgbColor rgb="FF660066"/>
      <rgbColor rgb="FFFF8080"/>
      <rgbColor rgb="FF0B5C8F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0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64.9" hidden="false" customHeight="false" outlineLevel="0" collapsed="false">
      <c r="A2" s="2" t="s">
        <v>3</v>
      </c>
      <c r="B2" s="3" t="s">
        <v>4</v>
      </c>
      <c r="C2" s="4" t="s">
        <v>5</v>
      </c>
    </row>
    <row r="3" customFormat="false" ht="26.85" hidden="false" customHeight="false" outlineLevel="0" collapsed="false">
      <c r="A3" s="2" t="s">
        <v>6</v>
      </c>
      <c r="B3" s="3" t="s">
        <v>7</v>
      </c>
      <c r="C3" s="4" t="s">
        <v>8</v>
      </c>
    </row>
    <row r="4" customFormat="false" ht="26.85" hidden="false" customHeight="false" outlineLevel="0" collapsed="false">
      <c r="A4" s="2" t="s">
        <v>9</v>
      </c>
      <c r="B4" s="4" t="s">
        <v>10</v>
      </c>
      <c r="C4" s="4" t="s">
        <v>11</v>
      </c>
    </row>
    <row r="5" customFormat="false" ht="26.85" hidden="false" customHeight="false" outlineLevel="0" collapsed="false">
      <c r="A5" s="2" t="s">
        <v>12</v>
      </c>
      <c r="B5" s="3" t="s">
        <v>13</v>
      </c>
      <c r="C5" s="4" t="s">
        <v>14</v>
      </c>
    </row>
    <row r="6" customFormat="false" ht="26.85" hidden="false" customHeight="false" outlineLevel="0" collapsed="false">
      <c r="A6" s="2" t="s">
        <v>15</v>
      </c>
      <c r="B6" s="4" t="s">
        <v>16</v>
      </c>
      <c r="C6" s="4" t="s">
        <v>17</v>
      </c>
    </row>
    <row r="7" customFormat="false" ht="26.85" hidden="false" customHeight="false" outlineLevel="0" collapsed="false">
      <c r="A7" s="2" t="s">
        <v>18</v>
      </c>
      <c r="B7" s="3" t="n">
        <v>15000</v>
      </c>
      <c r="C7" s="4" t="s">
        <v>19</v>
      </c>
    </row>
    <row r="8" customFormat="false" ht="15" hidden="false" customHeight="false" outlineLevel="0" collapsed="false">
      <c r="A8" s="2" t="s">
        <v>20</v>
      </c>
      <c r="B8" s="4" t="n">
        <v>113699503</v>
      </c>
      <c r="C8" s="4" t="s">
        <v>21</v>
      </c>
    </row>
    <row r="9" customFormat="false" ht="26.85" hidden="false" customHeight="false" outlineLevel="0" collapsed="false">
      <c r="A9" s="2" t="s">
        <v>22</v>
      </c>
      <c r="B9" s="4" t="s">
        <v>23</v>
      </c>
      <c r="C9" s="4" t="s">
        <v>24</v>
      </c>
    </row>
    <row r="10" customFormat="false" ht="15" hidden="false" customHeight="false" outlineLevel="0" collapsed="false">
      <c r="A10" s="2" t="s">
        <v>25</v>
      </c>
      <c r="B10" s="4" t="s">
        <v>26</v>
      </c>
      <c r="C10" s="4" t="s">
        <v>27</v>
      </c>
    </row>
    <row r="11" customFormat="false" ht="15" hidden="false" customHeight="false" outlineLevel="0" collapsed="false">
      <c r="A11" s="2" t="s">
        <v>28</v>
      </c>
      <c r="B11" s="4" t="s">
        <v>29</v>
      </c>
      <c r="C11" s="4" t="s">
        <v>30</v>
      </c>
    </row>
    <row r="12" customFormat="false" ht="15" hidden="false" customHeight="false" outlineLevel="0" collapsed="false">
      <c r="A12" s="2" t="s">
        <v>31</v>
      </c>
      <c r="B12" s="4" t="s">
        <v>32</v>
      </c>
      <c r="C12" s="4" t="s">
        <v>33</v>
      </c>
    </row>
    <row r="13" customFormat="false" ht="39.55" hidden="false" customHeight="false" outlineLevel="0" collapsed="false">
      <c r="A13" s="2" t="s">
        <v>34</v>
      </c>
      <c r="B13" s="4" t="s">
        <v>35</v>
      </c>
      <c r="C13" s="4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8"/>
    <col collapsed="false" customWidth="true" hidden="false" outlineLevel="0" max="4" min="4" style="0" width="48"/>
    <col collapsed="false" customWidth="true" hidden="false" outlineLevel="0" max="5" min="5" style="0" width="7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62"/>
    <col collapsed="false" customWidth="true" hidden="false" outlineLevel="0" max="9" min="9" style="0" width="7"/>
    <col collapsed="false" customWidth="true" hidden="false" outlineLevel="0" max="10" min="10" style="0" width="20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70"/>
  </cols>
  <sheetData>
    <row r="1" customFormat="false" ht="26.85" hidden="false" customHeight="false" outlineLevel="0" collapsed="false">
      <c r="A1" s="5" t="s">
        <v>37</v>
      </c>
      <c r="B1" s="5" t="s">
        <v>38</v>
      </c>
      <c r="C1" s="5" t="s">
        <v>39</v>
      </c>
      <c r="D1" s="5" t="s">
        <v>40</v>
      </c>
      <c r="E1" s="5" t="s">
        <v>41</v>
      </c>
      <c r="F1" s="5" t="s">
        <v>42</v>
      </c>
      <c r="G1" s="5" t="s">
        <v>41</v>
      </c>
      <c r="H1" s="5" t="s">
        <v>43</v>
      </c>
      <c r="I1" s="5" t="s">
        <v>41</v>
      </c>
      <c r="J1" s="5" t="s">
        <v>44</v>
      </c>
      <c r="K1" s="5" t="s">
        <v>41</v>
      </c>
      <c r="L1" s="5" t="s">
        <v>45</v>
      </c>
      <c r="M1" s="5" t="s">
        <v>46</v>
      </c>
    </row>
    <row r="2" customFormat="false" ht="39.55" hidden="false" customHeight="false" outlineLevel="0" collapsed="false">
      <c r="A2" s="6" t="s">
        <v>47</v>
      </c>
      <c r="B2" s="6" t="s">
        <v>48</v>
      </c>
      <c r="C2" s="6" t="s">
        <v>49</v>
      </c>
      <c r="D2" s="4" t="s">
        <v>50</v>
      </c>
      <c r="E2" s="7" t="n">
        <f aca="false">LEN(D2)</f>
        <v>46</v>
      </c>
      <c r="F2" s="6" t="s">
        <v>51</v>
      </c>
      <c r="G2" s="7" t="n">
        <f aca="false">LEN(F2)</f>
        <v>20</v>
      </c>
      <c r="H2" s="4" t="s">
        <v>52</v>
      </c>
      <c r="I2" s="7" t="n">
        <f aca="false">LEN(H2)</f>
        <v>79</v>
      </c>
      <c r="J2" s="6" t="s">
        <v>53</v>
      </c>
      <c r="K2" s="7" t="n">
        <f aca="false">LEN(J2)</f>
        <v>6</v>
      </c>
      <c r="L2" s="6" t="s">
        <v>54</v>
      </c>
      <c r="M2" s="4" t="str">
        <f aca="false">Настройки!$B$2&amp;IF(L2="","?","?model="&amp;SUBSTITUTE(L2," ","+")&amp;"&amp;")&amp;Настройки!$B$3</f>
        <v>https://renal-auto.asia:8443/port?model=K5&amp;utm_source=yandex&amp;utm_medium=cpc&amp;utm_campaign={campaign_id}&amp;utm_content={ad_id}&amp;utm_term={keyword}</v>
      </c>
    </row>
    <row r="3" customFormat="false" ht="39.55" hidden="false" customHeight="false" outlineLevel="0" collapsed="false">
      <c r="A3" s="6" t="s">
        <v>47</v>
      </c>
      <c r="B3" s="6" t="s">
        <v>48</v>
      </c>
      <c r="C3" s="6" t="s">
        <v>55</v>
      </c>
      <c r="D3" s="4" t="s">
        <v>56</v>
      </c>
      <c r="E3" s="7" t="n">
        <f aca="false">LEN(D3)</f>
        <v>44</v>
      </c>
      <c r="F3" s="6" t="s">
        <v>57</v>
      </c>
      <c r="G3" s="7" t="n">
        <f aca="false">LEN(F3)</f>
        <v>17</v>
      </c>
      <c r="H3" s="4" t="s">
        <v>58</v>
      </c>
      <c r="I3" s="7" t="n">
        <f aca="false">LEN(H3)</f>
        <v>74</v>
      </c>
      <c r="J3" s="6" t="s">
        <v>53</v>
      </c>
      <c r="K3" s="7" t="n">
        <f aca="false">LEN(J3)</f>
        <v>6</v>
      </c>
      <c r="L3" s="6" t="s">
        <v>54</v>
      </c>
      <c r="M3" s="4" t="str">
        <f aca="false">Настройки!$B$2&amp;IF(L3="","?","?model="&amp;SUBSTITUTE(L3," ","+")&amp;"&amp;")&amp;Настройки!$B$3</f>
        <v>https://renal-auto.asia:8443/port?model=K5&amp;utm_source=yandex&amp;utm_medium=cpc&amp;utm_campaign={campaign_id}&amp;utm_content={ad_id}&amp;utm_term={keyword}</v>
      </c>
    </row>
    <row r="4" customFormat="false" ht="39.55" hidden="false" customHeight="false" outlineLevel="0" collapsed="false">
      <c r="A4" s="6" t="s">
        <v>47</v>
      </c>
      <c r="B4" s="6" t="s">
        <v>59</v>
      </c>
      <c r="C4" s="6" t="s">
        <v>49</v>
      </c>
      <c r="D4" s="4" t="s">
        <v>60</v>
      </c>
      <c r="E4" s="7" t="n">
        <f aca="false">LEN(D4)</f>
        <v>52</v>
      </c>
      <c r="F4" s="6" t="s">
        <v>51</v>
      </c>
      <c r="G4" s="7" t="n">
        <f aca="false">LEN(F4)</f>
        <v>20</v>
      </c>
      <c r="H4" s="4" t="s">
        <v>52</v>
      </c>
      <c r="I4" s="7" t="n">
        <f aca="false">LEN(H4)</f>
        <v>79</v>
      </c>
      <c r="J4" s="6" t="s">
        <v>61</v>
      </c>
      <c r="K4" s="7" t="n">
        <f aca="false">LEN(J4)</f>
        <v>12</v>
      </c>
      <c r="L4" s="6" t="s">
        <v>62</v>
      </c>
      <c r="M4" s="4" t="str">
        <f aca="false">Настройки!$B$2&amp;IF(L4="","?","?model="&amp;SUBSTITUTE(L4," ","+")&amp;"&amp;")&amp;Настройки!$B$3</f>
        <v>https://renal-auto.asia:8443/port?model=Sportage&amp;utm_source=yandex&amp;utm_medium=cpc&amp;utm_campaign={campaign_id}&amp;utm_content={ad_id}&amp;utm_term={keyword}</v>
      </c>
    </row>
    <row r="5" customFormat="false" ht="39.55" hidden="false" customHeight="false" outlineLevel="0" collapsed="false">
      <c r="A5" s="6" t="s">
        <v>47</v>
      </c>
      <c r="B5" s="6" t="s">
        <v>59</v>
      </c>
      <c r="C5" s="6" t="s">
        <v>55</v>
      </c>
      <c r="D5" s="4" t="s">
        <v>63</v>
      </c>
      <c r="E5" s="7" t="n">
        <f aca="false">LEN(D5)</f>
        <v>50</v>
      </c>
      <c r="F5" s="6" t="s">
        <v>57</v>
      </c>
      <c r="G5" s="7" t="n">
        <f aca="false">LEN(F5)</f>
        <v>17</v>
      </c>
      <c r="H5" s="4" t="s">
        <v>58</v>
      </c>
      <c r="I5" s="7" t="n">
        <f aca="false">LEN(H5)</f>
        <v>74</v>
      </c>
      <c r="J5" s="6" t="s">
        <v>61</v>
      </c>
      <c r="K5" s="7" t="n">
        <f aca="false">LEN(J5)</f>
        <v>12</v>
      </c>
      <c r="L5" s="6" t="s">
        <v>62</v>
      </c>
      <c r="M5" s="4" t="str">
        <f aca="false">Настройки!$B$2&amp;IF(L5="","?","?model="&amp;SUBSTITUTE(L5," ","+")&amp;"&amp;")&amp;Настройки!$B$3</f>
        <v>https://renal-auto.asia:8443/port?model=Sportage&amp;utm_source=yandex&amp;utm_medium=cpc&amp;utm_campaign={campaign_id}&amp;utm_content={ad_id}&amp;utm_term={keyword}</v>
      </c>
    </row>
    <row r="6" customFormat="false" ht="39.55" hidden="false" customHeight="false" outlineLevel="0" collapsed="false">
      <c r="A6" s="6" t="s">
        <v>47</v>
      </c>
      <c r="B6" s="6" t="s">
        <v>64</v>
      </c>
      <c r="C6" s="6" t="s">
        <v>49</v>
      </c>
      <c r="D6" s="4" t="s">
        <v>65</v>
      </c>
      <c r="E6" s="7" t="n">
        <f aca="false">LEN(D6)</f>
        <v>51</v>
      </c>
      <c r="F6" s="6" t="s">
        <v>51</v>
      </c>
      <c r="G6" s="7" t="n">
        <f aca="false">LEN(F6)</f>
        <v>20</v>
      </c>
      <c r="H6" s="4" t="s">
        <v>52</v>
      </c>
      <c r="I6" s="7" t="n">
        <f aca="false">LEN(H6)</f>
        <v>79</v>
      </c>
      <c r="J6" s="6" t="s">
        <v>66</v>
      </c>
      <c r="K6" s="7" t="n">
        <f aca="false">LEN(J6)</f>
        <v>11</v>
      </c>
      <c r="L6" s="6" t="s">
        <v>67</v>
      </c>
      <c r="M6" s="4" t="str">
        <f aca="false">Настройки!$B$2&amp;IF(L6="","?","?model="&amp;SUBSTITUTE(L6," ","+")&amp;"&amp;")&amp;Настройки!$B$3</f>
        <v>https://renal-auto.asia:8443/port?model=Sorento&amp;utm_source=yandex&amp;utm_medium=cpc&amp;utm_campaign={campaign_id}&amp;utm_content={ad_id}&amp;utm_term={keyword}</v>
      </c>
    </row>
    <row r="7" customFormat="false" ht="39.55" hidden="false" customHeight="false" outlineLevel="0" collapsed="false">
      <c r="A7" s="6" t="s">
        <v>47</v>
      </c>
      <c r="B7" s="6" t="s">
        <v>64</v>
      </c>
      <c r="C7" s="6" t="s">
        <v>55</v>
      </c>
      <c r="D7" s="4" t="s">
        <v>68</v>
      </c>
      <c r="E7" s="7" t="n">
        <f aca="false">LEN(D7)</f>
        <v>49</v>
      </c>
      <c r="F7" s="6" t="s">
        <v>57</v>
      </c>
      <c r="G7" s="7" t="n">
        <f aca="false">LEN(F7)</f>
        <v>17</v>
      </c>
      <c r="H7" s="4" t="s">
        <v>58</v>
      </c>
      <c r="I7" s="7" t="n">
        <f aca="false">LEN(H7)</f>
        <v>74</v>
      </c>
      <c r="J7" s="6" t="s">
        <v>66</v>
      </c>
      <c r="K7" s="7" t="n">
        <f aca="false">LEN(J7)</f>
        <v>11</v>
      </c>
      <c r="L7" s="6" t="s">
        <v>67</v>
      </c>
      <c r="M7" s="4" t="str">
        <f aca="false">Настройки!$B$2&amp;IF(L7="","?","?model="&amp;SUBSTITUTE(L7," ","+")&amp;"&amp;")&amp;Настройки!$B$3</f>
        <v>https://renal-auto.asia:8443/port?model=Sorento&amp;utm_source=yandex&amp;utm_medium=cpc&amp;utm_campaign={campaign_id}&amp;utm_content={ad_id}&amp;utm_term={keyword}</v>
      </c>
    </row>
    <row r="8" customFormat="false" ht="39.55" hidden="false" customHeight="false" outlineLevel="0" collapsed="false">
      <c r="A8" s="6" t="s">
        <v>47</v>
      </c>
      <c r="B8" s="6" t="s">
        <v>69</v>
      </c>
      <c r="C8" s="6" t="s">
        <v>49</v>
      </c>
      <c r="D8" s="4" t="s">
        <v>70</v>
      </c>
      <c r="E8" s="7" t="n">
        <f aca="false">LEN(D8)</f>
        <v>50</v>
      </c>
      <c r="F8" s="6" t="s">
        <v>51</v>
      </c>
      <c r="G8" s="7" t="n">
        <f aca="false">LEN(F8)</f>
        <v>20</v>
      </c>
      <c r="H8" s="4" t="s">
        <v>52</v>
      </c>
      <c r="I8" s="7" t="n">
        <f aca="false">LEN(H8)</f>
        <v>79</v>
      </c>
      <c r="J8" s="6" t="s">
        <v>71</v>
      </c>
      <c r="K8" s="7" t="n">
        <f aca="false">LEN(J8)</f>
        <v>10</v>
      </c>
      <c r="L8" s="6" t="s">
        <v>72</v>
      </c>
      <c r="M8" s="4" t="str">
        <f aca="false">Настройки!$B$2&amp;IF(L8="","?","?model="&amp;SUBSTITUTE(L8," ","+")&amp;"&amp;")&amp;Настройки!$B$3</f>
        <v>https://renal-auto.asia:8443/port?model=Seltos&amp;utm_source=yandex&amp;utm_medium=cpc&amp;utm_campaign={campaign_id}&amp;utm_content={ad_id}&amp;utm_term={keyword}</v>
      </c>
    </row>
    <row r="9" customFormat="false" ht="39.55" hidden="false" customHeight="false" outlineLevel="0" collapsed="false">
      <c r="A9" s="6" t="s">
        <v>47</v>
      </c>
      <c r="B9" s="6" t="s">
        <v>69</v>
      </c>
      <c r="C9" s="6" t="s">
        <v>55</v>
      </c>
      <c r="D9" s="4" t="s">
        <v>73</v>
      </c>
      <c r="E9" s="7" t="n">
        <f aca="false">LEN(D9)</f>
        <v>48</v>
      </c>
      <c r="F9" s="6" t="s">
        <v>57</v>
      </c>
      <c r="G9" s="7" t="n">
        <f aca="false">LEN(F9)</f>
        <v>17</v>
      </c>
      <c r="H9" s="4" t="s">
        <v>58</v>
      </c>
      <c r="I9" s="7" t="n">
        <f aca="false">LEN(H9)</f>
        <v>74</v>
      </c>
      <c r="J9" s="6" t="s">
        <v>71</v>
      </c>
      <c r="K9" s="7" t="n">
        <f aca="false">LEN(J9)</f>
        <v>10</v>
      </c>
      <c r="L9" s="6" t="s">
        <v>72</v>
      </c>
      <c r="M9" s="4" t="str">
        <f aca="false">Настройки!$B$2&amp;IF(L9="","?","?model="&amp;SUBSTITUTE(L9," ","+")&amp;"&amp;")&amp;Настройки!$B$3</f>
        <v>https://renal-auto.asia:8443/port?model=Seltos&amp;utm_source=yandex&amp;utm_medium=cpc&amp;utm_campaign={campaign_id}&amp;utm_content={ad_id}&amp;utm_term={keyword}</v>
      </c>
    </row>
    <row r="10" customFormat="false" ht="39.55" hidden="false" customHeight="false" outlineLevel="0" collapsed="false">
      <c r="A10" s="6" t="s">
        <v>47</v>
      </c>
      <c r="B10" s="6" t="s">
        <v>74</v>
      </c>
      <c r="C10" s="6" t="s">
        <v>49</v>
      </c>
      <c r="D10" s="4" t="s">
        <v>75</v>
      </c>
      <c r="E10" s="7" t="n">
        <f aca="false">LEN(D10)</f>
        <v>52</v>
      </c>
      <c r="F10" s="6" t="s">
        <v>51</v>
      </c>
      <c r="G10" s="7" t="n">
        <f aca="false">LEN(F10)</f>
        <v>20</v>
      </c>
      <c r="H10" s="4" t="s">
        <v>52</v>
      </c>
      <c r="I10" s="7" t="n">
        <f aca="false">LEN(H10)</f>
        <v>79</v>
      </c>
      <c r="J10" s="6" t="s">
        <v>76</v>
      </c>
      <c r="K10" s="7" t="n">
        <f aca="false">LEN(J10)</f>
        <v>12</v>
      </c>
      <c r="L10" s="6" t="s">
        <v>77</v>
      </c>
      <c r="M10" s="4" t="str">
        <f aca="false">Настройки!$B$2&amp;IF(L10="","?","?model="&amp;SUBSTITUTE(L10," ","+")&amp;"&amp;")&amp;Настройки!$B$3</f>
        <v>https://renal-auto.asia:8443/port?model=Carnival&amp;utm_source=yandex&amp;utm_medium=cpc&amp;utm_campaign={campaign_id}&amp;utm_content={ad_id}&amp;utm_term={keyword}</v>
      </c>
    </row>
    <row r="11" customFormat="false" ht="39.55" hidden="false" customHeight="false" outlineLevel="0" collapsed="false">
      <c r="A11" s="6" t="s">
        <v>47</v>
      </c>
      <c r="B11" s="6" t="s">
        <v>74</v>
      </c>
      <c r="C11" s="6" t="s">
        <v>55</v>
      </c>
      <c r="D11" s="4" t="s">
        <v>78</v>
      </c>
      <c r="E11" s="7" t="n">
        <f aca="false">LEN(D11)</f>
        <v>50</v>
      </c>
      <c r="F11" s="6" t="s">
        <v>57</v>
      </c>
      <c r="G11" s="7" t="n">
        <f aca="false">LEN(F11)</f>
        <v>17</v>
      </c>
      <c r="H11" s="4" t="s">
        <v>58</v>
      </c>
      <c r="I11" s="7" t="n">
        <f aca="false">LEN(H11)</f>
        <v>74</v>
      </c>
      <c r="J11" s="6" t="s">
        <v>76</v>
      </c>
      <c r="K11" s="7" t="n">
        <f aca="false">LEN(J11)</f>
        <v>12</v>
      </c>
      <c r="L11" s="6" t="s">
        <v>77</v>
      </c>
      <c r="M11" s="4" t="str">
        <f aca="false">Настройки!$B$2&amp;IF(L11="","?","?model="&amp;SUBSTITUTE(L11," ","+")&amp;"&amp;")&amp;Настройки!$B$3</f>
        <v>https://renal-auto.asia:8443/port?model=Carnival&amp;utm_source=yandex&amp;utm_medium=cpc&amp;utm_campaign={campaign_id}&amp;utm_content={ad_id}&amp;utm_term={keyword}</v>
      </c>
    </row>
    <row r="12" customFormat="false" ht="39.55" hidden="false" customHeight="false" outlineLevel="0" collapsed="false">
      <c r="A12" s="6" t="s">
        <v>47</v>
      </c>
      <c r="B12" s="6" t="s">
        <v>79</v>
      </c>
      <c r="C12" s="6" t="s">
        <v>49</v>
      </c>
      <c r="D12" s="4" t="s">
        <v>80</v>
      </c>
      <c r="E12" s="7" t="n">
        <f aca="false">LEN(D12)</f>
        <v>47</v>
      </c>
      <c r="F12" s="6" t="s">
        <v>51</v>
      </c>
      <c r="G12" s="7" t="n">
        <f aca="false">LEN(F12)</f>
        <v>20</v>
      </c>
      <c r="H12" s="4" t="s">
        <v>52</v>
      </c>
      <c r="I12" s="7" t="n">
        <f aca="false">LEN(H12)</f>
        <v>79</v>
      </c>
      <c r="J12" s="6" t="s">
        <v>81</v>
      </c>
      <c r="K12" s="7" t="n">
        <f aca="false">LEN(J12)</f>
        <v>7</v>
      </c>
      <c r="L12" s="6" t="s">
        <v>82</v>
      </c>
      <c r="M12" s="4" t="str">
        <f aca="false">Настройки!$B$2&amp;IF(L12="","?","?model="&amp;SUBSTITUTE(L12," ","+")&amp;"&amp;")&amp;Настройки!$B$3</f>
        <v>https://renal-auto.asia:8443/port?model=Ray&amp;utm_source=yandex&amp;utm_medium=cpc&amp;utm_campaign={campaign_id}&amp;utm_content={ad_id}&amp;utm_term={keyword}</v>
      </c>
    </row>
    <row r="13" customFormat="false" ht="39.55" hidden="false" customHeight="false" outlineLevel="0" collapsed="false">
      <c r="A13" s="6" t="s">
        <v>47</v>
      </c>
      <c r="B13" s="6" t="s">
        <v>79</v>
      </c>
      <c r="C13" s="6" t="s">
        <v>55</v>
      </c>
      <c r="D13" s="4" t="s">
        <v>83</v>
      </c>
      <c r="E13" s="7" t="n">
        <f aca="false">LEN(D13)</f>
        <v>45</v>
      </c>
      <c r="F13" s="6" t="s">
        <v>57</v>
      </c>
      <c r="G13" s="7" t="n">
        <f aca="false">LEN(F13)</f>
        <v>17</v>
      </c>
      <c r="H13" s="4" t="s">
        <v>58</v>
      </c>
      <c r="I13" s="7" t="n">
        <f aca="false">LEN(H13)</f>
        <v>74</v>
      </c>
      <c r="J13" s="6" t="s">
        <v>81</v>
      </c>
      <c r="K13" s="7" t="n">
        <f aca="false">LEN(J13)</f>
        <v>7</v>
      </c>
      <c r="L13" s="6" t="s">
        <v>82</v>
      </c>
      <c r="M13" s="4" t="str">
        <f aca="false">Настройки!$B$2&amp;IF(L13="","?","?model="&amp;SUBSTITUTE(L13," ","+")&amp;"&amp;")&amp;Настройки!$B$3</f>
        <v>https://renal-auto.asia:8443/port?model=Ray&amp;utm_source=yandex&amp;utm_medium=cpc&amp;utm_campaign={campaign_id}&amp;utm_content={ad_id}&amp;utm_term={keyword}</v>
      </c>
    </row>
    <row r="14" customFormat="false" ht="39.55" hidden="false" customHeight="false" outlineLevel="0" collapsed="false">
      <c r="A14" s="6" t="s">
        <v>47</v>
      </c>
      <c r="B14" s="6" t="s">
        <v>84</v>
      </c>
      <c r="C14" s="6" t="s">
        <v>49</v>
      </c>
      <c r="D14" s="4" t="s">
        <v>85</v>
      </c>
      <c r="E14" s="7" t="n">
        <f aca="false">LEN(D14)</f>
        <v>54</v>
      </c>
      <c r="F14" s="6" t="s">
        <v>51</v>
      </c>
      <c r="G14" s="7" t="n">
        <f aca="false">LEN(F14)</f>
        <v>20</v>
      </c>
      <c r="H14" s="4" t="s">
        <v>52</v>
      </c>
      <c r="I14" s="7" t="n">
        <f aca="false">LEN(H14)</f>
        <v>79</v>
      </c>
      <c r="J14" s="6" t="s">
        <v>86</v>
      </c>
      <c r="K14" s="7" t="n">
        <f aca="false">LEN(J14)</f>
        <v>14</v>
      </c>
      <c r="L14" s="6" t="s">
        <v>87</v>
      </c>
      <c r="M14" s="4" t="str">
        <f aca="false">Настройки!$B$2&amp;IF(L14="","?","?model="&amp;SUBSTITUTE(L14," ","+")&amp;"&amp;")&amp;Настройки!$B$3</f>
        <v>https://renal-auto.asia:8443/port?model=Tucson&amp;utm_source=yandex&amp;utm_medium=cpc&amp;utm_campaign={campaign_id}&amp;utm_content={ad_id}&amp;utm_term={keyword}</v>
      </c>
    </row>
    <row r="15" customFormat="false" ht="39.55" hidden="false" customHeight="false" outlineLevel="0" collapsed="false">
      <c r="A15" s="6" t="s">
        <v>47</v>
      </c>
      <c r="B15" s="6" t="s">
        <v>84</v>
      </c>
      <c r="C15" s="6" t="s">
        <v>55</v>
      </c>
      <c r="D15" s="4" t="s">
        <v>88</v>
      </c>
      <c r="E15" s="7" t="n">
        <f aca="false">LEN(D15)</f>
        <v>52</v>
      </c>
      <c r="F15" s="6" t="s">
        <v>57</v>
      </c>
      <c r="G15" s="7" t="n">
        <f aca="false">LEN(F15)</f>
        <v>17</v>
      </c>
      <c r="H15" s="4" t="s">
        <v>58</v>
      </c>
      <c r="I15" s="7" t="n">
        <f aca="false">LEN(H15)</f>
        <v>74</v>
      </c>
      <c r="J15" s="6" t="s">
        <v>86</v>
      </c>
      <c r="K15" s="7" t="n">
        <f aca="false">LEN(J15)</f>
        <v>14</v>
      </c>
      <c r="L15" s="6" t="s">
        <v>87</v>
      </c>
      <c r="M15" s="4" t="str">
        <f aca="false">Настройки!$B$2&amp;IF(L15="","?","?model="&amp;SUBSTITUTE(L15," ","+")&amp;"&amp;")&amp;Настройки!$B$3</f>
        <v>https://renal-auto.asia:8443/port?model=Tucson&amp;utm_source=yandex&amp;utm_medium=cpc&amp;utm_campaign={campaign_id}&amp;utm_content={ad_id}&amp;utm_term={keyword}</v>
      </c>
    </row>
    <row r="16" customFormat="false" ht="39.55" hidden="false" customHeight="false" outlineLevel="0" collapsed="false">
      <c r="A16" s="6" t="s">
        <v>47</v>
      </c>
      <c r="B16" s="6" t="s">
        <v>89</v>
      </c>
      <c r="C16" s="6" t="s">
        <v>49</v>
      </c>
      <c r="D16" s="4" t="s">
        <v>90</v>
      </c>
      <c r="E16" s="7" t="n">
        <f aca="false">LEN(D16)</f>
        <v>56</v>
      </c>
      <c r="F16" s="6" t="s">
        <v>51</v>
      </c>
      <c r="G16" s="7" t="n">
        <f aca="false">LEN(F16)</f>
        <v>20</v>
      </c>
      <c r="H16" s="4" t="s">
        <v>52</v>
      </c>
      <c r="I16" s="7" t="n">
        <f aca="false">LEN(H16)</f>
        <v>79</v>
      </c>
      <c r="J16" s="6" t="s">
        <v>91</v>
      </c>
      <c r="K16" s="7" t="n">
        <f aca="false">LEN(J16)</f>
        <v>16</v>
      </c>
      <c r="L16" s="6" t="s">
        <v>92</v>
      </c>
      <c r="M16" s="4" t="str">
        <f aca="false">Настройки!$B$2&amp;IF(L16="","?","?model="&amp;SUBSTITUTE(L16," ","+")&amp;"&amp;")&amp;Настройки!$B$3</f>
        <v>https://renal-auto.asia:8443/port?model=Santa+Fe&amp;utm_source=yandex&amp;utm_medium=cpc&amp;utm_campaign={campaign_id}&amp;utm_content={ad_id}&amp;utm_term={keyword}</v>
      </c>
    </row>
    <row r="17" customFormat="false" ht="39.55" hidden="false" customHeight="false" outlineLevel="0" collapsed="false">
      <c r="A17" s="6" t="s">
        <v>47</v>
      </c>
      <c r="B17" s="6" t="s">
        <v>89</v>
      </c>
      <c r="C17" s="6" t="s">
        <v>55</v>
      </c>
      <c r="D17" s="4" t="s">
        <v>93</v>
      </c>
      <c r="E17" s="7" t="n">
        <f aca="false">LEN(D17)</f>
        <v>54</v>
      </c>
      <c r="F17" s="6" t="s">
        <v>57</v>
      </c>
      <c r="G17" s="7" t="n">
        <f aca="false">LEN(F17)</f>
        <v>17</v>
      </c>
      <c r="H17" s="4" t="s">
        <v>58</v>
      </c>
      <c r="I17" s="7" t="n">
        <f aca="false">LEN(H17)</f>
        <v>74</v>
      </c>
      <c r="J17" s="6" t="s">
        <v>91</v>
      </c>
      <c r="K17" s="7" t="n">
        <f aca="false">LEN(J17)</f>
        <v>16</v>
      </c>
      <c r="L17" s="6" t="s">
        <v>92</v>
      </c>
      <c r="M17" s="4" t="str">
        <f aca="false">Настройки!$B$2&amp;IF(L17="","?","?model="&amp;SUBSTITUTE(L17," ","+")&amp;"&amp;")&amp;Настройки!$B$3</f>
        <v>https://renal-auto.asia:8443/port?model=Santa+Fe&amp;utm_source=yandex&amp;utm_medium=cpc&amp;utm_campaign={campaign_id}&amp;utm_content={ad_id}&amp;utm_term={keyword}</v>
      </c>
    </row>
    <row r="18" customFormat="false" ht="39.55" hidden="false" customHeight="false" outlineLevel="0" collapsed="false">
      <c r="A18" s="6" t="s">
        <v>47</v>
      </c>
      <c r="B18" s="6" t="s">
        <v>94</v>
      </c>
      <c r="C18" s="6" t="s">
        <v>49</v>
      </c>
      <c r="D18" s="4" t="s">
        <v>95</v>
      </c>
      <c r="E18" s="7" t="n">
        <f aca="false">LEN(D18)</f>
        <v>54</v>
      </c>
      <c r="F18" s="6" t="s">
        <v>51</v>
      </c>
      <c r="G18" s="7" t="n">
        <f aca="false">LEN(F18)</f>
        <v>20</v>
      </c>
      <c r="H18" s="4" t="s">
        <v>52</v>
      </c>
      <c r="I18" s="7" t="n">
        <f aca="false">LEN(H18)</f>
        <v>79</v>
      </c>
      <c r="J18" s="6" t="s">
        <v>96</v>
      </c>
      <c r="K18" s="7" t="n">
        <f aca="false">LEN(J18)</f>
        <v>14</v>
      </c>
      <c r="L18" s="6" t="s">
        <v>97</v>
      </c>
      <c r="M18" s="4" t="str">
        <f aca="false">Настройки!$B$2&amp;IF(L18="","?","?model="&amp;SUBSTITUTE(L18," ","+")&amp;"&amp;")&amp;Настройки!$B$3</f>
        <v>https://renal-auto.asia:8443/port?model=Sonata&amp;utm_source=yandex&amp;utm_medium=cpc&amp;utm_campaign={campaign_id}&amp;utm_content={ad_id}&amp;utm_term={keyword}</v>
      </c>
    </row>
    <row r="19" customFormat="false" ht="39.55" hidden="false" customHeight="false" outlineLevel="0" collapsed="false">
      <c r="A19" s="6" t="s">
        <v>47</v>
      </c>
      <c r="B19" s="6" t="s">
        <v>94</v>
      </c>
      <c r="C19" s="6" t="s">
        <v>55</v>
      </c>
      <c r="D19" s="4" t="s">
        <v>98</v>
      </c>
      <c r="E19" s="7" t="n">
        <f aca="false">LEN(D19)</f>
        <v>52</v>
      </c>
      <c r="F19" s="6" t="s">
        <v>57</v>
      </c>
      <c r="G19" s="7" t="n">
        <f aca="false">LEN(F19)</f>
        <v>17</v>
      </c>
      <c r="H19" s="4" t="s">
        <v>58</v>
      </c>
      <c r="I19" s="7" t="n">
        <f aca="false">LEN(H19)</f>
        <v>74</v>
      </c>
      <c r="J19" s="6" t="s">
        <v>96</v>
      </c>
      <c r="K19" s="7" t="n">
        <f aca="false">LEN(J19)</f>
        <v>14</v>
      </c>
      <c r="L19" s="6" t="s">
        <v>97</v>
      </c>
      <c r="M19" s="4" t="str">
        <f aca="false">Настройки!$B$2&amp;IF(L19="","?","?model="&amp;SUBSTITUTE(L19," ","+")&amp;"&amp;")&amp;Настройки!$B$3</f>
        <v>https://renal-auto.asia:8443/port?model=Sonata&amp;utm_source=yandex&amp;utm_medium=cpc&amp;utm_campaign={campaign_id}&amp;utm_content={ad_id}&amp;utm_term={keyword}</v>
      </c>
    </row>
    <row r="20" customFormat="false" ht="39.55" hidden="false" customHeight="false" outlineLevel="0" collapsed="false">
      <c r="A20" s="6" t="s">
        <v>47</v>
      </c>
      <c r="B20" s="6" t="s">
        <v>99</v>
      </c>
      <c r="C20" s="6" t="s">
        <v>49</v>
      </c>
      <c r="D20" s="4" t="s">
        <v>100</v>
      </c>
      <c r="E20" s="7" t="n">
        <f aca="false">LEN(D20)</f>
        <v>54</v>
      </c>
      <c r="F20" s="6" t="s">
        <v>51</v>
      </c>
      <c r="G20" s="7" t="n">
        <f aca="false">LEN(F20)</f>
        <v>20</v>
      </c>
      <c r="H20" s="4" t="s">
        <v>52</v>
      </c>
      <c r="I20" s="7" t="n">
        <f aca="false">LEN(H20)</f>
        <v>79</v>
      </c>
      <c r="J20" s="6" t="s">
        <v>101</v>
      </c>
      <c r="K20" s="7" t="n">
        <f aca="false">LEN(J20)</f>
        <v>14</v>
      </c>
      <c r="L20" s="6" t="s">
        <v>102</v>
      </c>
      <c r="M20" s="4" t="str">
        <f aca="false">Настройки!$B$2&amp;IF(L20="","?","?model="&amp;SUBSTITUTE(L20," ","+")&amp;"&amp;")&amp;Настройки!$B$3</f>
        <v>https://renal-auto.asia:8443/port?model=Avante&amp;utm_source=yandex&amp;utm_medium=cpc&amp;utm_campaign={campaign_id}&amp;utm_content={ad_id}&amp;utm_term={keyword}</v>
      </c>
    </row>
    <row r="21" customFormat="false" ht="39.55" hidden="false" customHeight="false" outlineLevel="0" collapsed="false">
      <c r="A21" s="6" t="s">
        <v>47</v>
      </c>
      <c r="B21" s="6" t="s">
        <v>99</v>
      </c>
      <c r="C21" s="6" t="s">
        <v>55</v>
      </c>
      <c r="D21" s="4" t="s">
        <v>103</v>
      </c>
      <c r="E21" s="7" t="n">
        <f aca="false">LEN(D21)</f>
        <v>52</v>
      </c>
      <c r="F21" s="6" t="s">
        <v>57</v>
      </c>
      <c r="G21" s="7" t="n">
        <f aca="false">LEN(F21)</f>
        <v>17</v>
      </c>
      <c r="H21" s="4" t="s">
        <v>58</v>
      </c>
      <c r="I21" s="7" t="n">
        <f aca="false">LEN(H21)</f>
        <v>74</v>
      </c>
      <c r="J21" s="6" t="s">
        <v>101</v>
      </c>
      <c r="K21" s="7" t="n">
        <f aca="false">LEN(J21)</f>
        <v>14</v>
      </c>
      <c r="L21" s="6" t="s">
        <v>102</v>
      </c>
      <c r="M21" s="4" t="str">
        <f aca="false">Настройки!$B$2&amp;IF(L21="","?","?model="&amp;SUBSTITUTE(L21," ","+")&amp;"&amp;")&amp;Настройки!$B$3</f>
        <v>https://renal-auto.asia:8443/port?model=Avante&amp;utm_source=yandex&amp;utm_medium=cpc&amp;utm_campaign={campaign_id}&amp;utm_content={ad_id}&amp;utm_term={keyword}</v>
      </c>
    </row>
    <row r="22" customFormat="false" ht="39.55" hidden="false" customHeight="false" outlineLevel="0" collapsed="false">
      <c r="A22" s="6" t="s">
        <v>47</v>
      </c>
      <c r="B22" s="6" t="s">
        <v>104</v>
      </c>
      <c r="C22" s="6" t="s">
        <v>49</v>
      </c>
      <c r="D22" s="4" t="s">
        <v>105</v>
      </c>
      <c r="E22" s="7" t="n">
        <f aca="false">LEN(D22)</f>
        <v>51</v>
      </c>
      <c r="F22" s="6" t="s">
        <v>51</v>
      </c>
      <c r="G22" s="7" t="n">
        <f aca="false">LEN(F22)</f>
        <v>20</v>
      </c>
      <c r="H22" s="4" t="s">
        <v>52</v>
      </c>
      <c r="I22" s="7" t="n">
        <f aca="false">LEN(H22)</f>
        <v>79</v>
      </c>
      <c r="J22" s="6" t="s">
        <v>106</v>
      </c>
      <c r="K22" s="7" t="n">
        <f aca="false">LEN(J22)</f>
        <v>11</v>
      </c>
      <c r="L22" s="6" t="s">
        <v>107</v>
      </c>
      <c r="M22" s="4" t="str">
        <f aca="false">Настройки!$B$2&amp;IF(L22="","?","?model="&amp;SUBSTITUTE(L22," ","+")&amp;"&amp;")&amp;Настройки!$B$3</f>
        <v>https://renal-auto.asia:8443/port?model=G80&amp;utm_source=yandex&amp;utm_medium=cpc&amp;utm_campaign={campaign_id}&amp;utm_content={ad_id}&amp;utm_term={keyword}</v>
      </c>
    </row>
    <row r="23" customFormat="false" ht="39.55" hidden="false" customHeight="false" outlineLevel="0" collapsed="false">
      <c r="A23" s="6" t="s">
        <v>47</v>
      </c>
      <c r="B23" s="6" t="s">
        <v>104</v>
      </c>
      <c r="C23" s="6" t="s">
        <v>55</v>
      </c>
      <c r="D23" s="4" t="s">
        <v>108</v>
      </c>
      <c r="E23" s="7" t="n">
        <f aca="false">LEN(D23)</f>
        <v>49</v>
      </c>
      <c r="F23" s="6" t="s">
        <v>57</v>
      </c>
      <c r="G23" s="7" t="n">
        <f aca="false">LEN(F23)</f>
        <v>17</v>
      </c>
      <c r="H23" s="4" t="s">
        <v>58</v>
      </c>
      <c r="I23" s="7" t="n">
        <f aca="false">LEN(H23)</f>
        <v>74</v>
      </c>
      <c r="J23" s="6" t="s">
        <v>106</v>
      </c>
      <c r="K23" s="7" t="n">
        <f aca="false">LEN(J23)</f>
        <v>11</v>
      </c>
      <c r="L23" s="6" t="s">
        <v>107</v>
      </c>
      <c r="M23" s="4" t="str">
        <f aca="false">Настройки!$B$2&amp;IF(L23="","?","?model="&amp;SUBSTITUTE(L23," ","+")&amp;"&amp;")&amp;Настройки!$B$3</f>
        <v>https://renal-auto.asia:8443/port?model=G80&amp;utm_source=yandex&amp;utm_medium=cpc&amp;utm_campaign={campaign_id}&amp;utm_content={ad_id}&amp;utm_term={keyword}</v>
      </c>
    </row>
    <row r="24" customFormat="false" ht="39.55" hidden="false" customHeight="false" outlineLevel="0" collapsed="false">
      <c r="A24" s="6" t="s">
        <v>109</v>
      </c>
      <c r="B24" s="6" t="s">
        <v>110</v>
      </c>
      <c r="C24" s="6" t="s">
        <v>49</v>
      </c>
      <c r="D24" s="4" t="s">
        <v>111</v>
      </c>
      <c r="E24" s="7" t="n">
        <f aca="false">LEN(D24)</f>
        <v>53</v>
      </c>
      <c r="F24" s="6" t="s">
        <v>51</v>
      </c>
      <c r="G24" s="7" t="n">
        <f aca="false">LEN(F24)</f>
        <v>20</v>
      </c>
      <c r="H24" s="4" t="s">
        <v>52</v>
      </c>
      <c r="I24" s="7" t="n">
        <f aca="false">LEN(H24)</f>
        <v>79</v>
      </c>
      <c r="J24" s="6" t="s">
        <v>112</v>
      </c>
      <c r="K24" s="7" t="n">
        <f aca="false">LEN(J24)</f>
        <v>13</v>
      </c>
      <c r="L24" s="6" t="s">
        <v>113</v>
      </c>
      <c r="M24" s="4" t="str">
        <f aca="false">Настройки!$B$2&amp;IF(L24="","?","?model="&amp;SUBSTITUTE(L24," ","+")&amp;"&amp;")&amp;Настройки!$B$3</f>
        <v>https://renal-auto.asia:8443/port?model=Monjaro&amp;utm_source=yandex&amp;utm_medium=cpc&amp;utm_campaign={campaign_id}&amp;utm_content={ad_id}&amp;utm_term={keyword}</v>
      </c>
    </row>
    <row r="25" customFormat="false" ht="39.55" hidden="false" customHeight="false" outlineLevel="0" collapsed="false">
      <c r="A25" s="6" t="s">
        <v>109</v>
      </c>
      <c r="B25" s="6" t="s">
        <v>110</v>
      </c>
      <c r="C25" s="6" t="s">
        <v>55</v>
      </c>
      <c r="D25" s="4" t="s">
        <v>114</v>
      </c>
      <c r="E25" s="7" t="n">
        <f aca="false">LEN(D25)</f>
        <v>51</v>
      </c>
      <c r="F25" s="6" t="s">
        <v>57</v>
      </c>
      <c r="G25" s="7" t="n">
        <f aca="false">LEN(F25)</f>
        <v>17</v>
      </c>
      <c r="H25" s="4" t="s">
        <v>58</v>
      </c>
      <c r="I25" s="7" t="n">
        <f aca="false">LEN(H25)</f>
        <v>74</v>
      </c>
      <c r="J25" s="6" t="s">
        <v>112</v>
      </c>
      <c r="K25" s="7" t="n">
        <f aca="false">LEN(J25)</f>
        <v>13</v>
      </c>
      <c r="L25" s="6" t="s">
        <v>113</v>
      </c>
      <c r="M25" s="4" t="str">
        <f aca="false">Настройки!$B$2&amp;IF(L25="","?","?model="&amp;SUBSTITUTE(L25," ","+")&amp;"&amp;")&amp;Настройки!$B$3</f>
        <v>https://renal-auto.asia:8443/port?model=Monjaro&amp;utm_source=yandex&amp;utm_medium=cpc&amp;utm_campaign={campaign_id}&amp;utm_content={ad_id}&amp;utm_term={keyword}</v>
      </c>
    </row>
    <row r="26" customFormat="false" ht="39.55" hidden="false" customHeight="false" outlineLevel="0" collapsed="false">
      <c r="A26" s="6" t="s">
        <v>109</v>
      </c>
      <c r="B26" s="6" t="s">
        <v>115</v>
      </c>
      <c r="C26" s="6" t="s">
        <v>49</v>
      </c>
      <c r="D26" s="4" t="s">
        <v>116</v>
      </c>
      <c r="E26" s="7" t="n">
        <f aca="false">LEN(D26)</f>
        <v>53</v>
      </c>
      <c r="F26" s="6" t="s">
        <v>51</v>
      </c>
      <c r="G26" s="7" t="n">
        <f aca="false">LEN(F26)</f>
        <v>20</v>
      </c>
      <c r="H26" s="4" t="s">
        <v>52</v>
      </c>
      <c r="I26" s="7" t="n">
        <f aca="false">LEN(H26)</f>
        <v>79</v>
      </c>
      <c r="J26" s="6" t="s">
        <v>117</v>
      </c>
      <c r="K26" s="7" t="n">
        <f aca="false">LEN(J26)</f>
        <v>13</v>
      </c>
      <c r="L26" s="6" t="s">
        <v>118</v>
      </c>
      <c r="M26" s="4" t="str">
        <f aca="false">Настройки!$B$2&amp;IF(L26="","?","?model="&amp;SUBSTITUTE(L26," ","+")&amp;"&amp;")&amp;Настройки!$B$3</f>
        <v>https://renal-auto.asia:8443/port?model=Coolray&amp;utm_source=yandex&amp;utm_medium=cpc&amp;utm_campaign={campaign_id}&amp;utm_content={ad_id}&amp;utm_term={keyword}</v>
      </c>
    </row>
    <row r="27" customFormat="false" ht="39.55" hidden="false" customHeight="false" outlineLevel="0" collapsed="false">
      <c r="A27" s="6" t="s">
        <v>109</v>
      </c>
      <c r="B27" s="6" t="s">
        <v>115</v>
      </c>
      <c r="C27" s="6" t="s">
        <v>55</v>
      </c>
      <c r="D27" s="4" t="s">
        <v>119</v>
      </c>
      <c r="E27" s="7" t="n">
        <f aca="false">LEN(D27)</f>
        <v>51</v>
      </c>
      <c r="F27" s="6" t="s">
        <v>57</v>
      </c>
      <c r="G27" s="7" t="n">
        <f aca="false">LEN(F27)</f>
        <v>17</v>
      </c>
      <c r="H27" s="4" t="s">
        <v>58</v>
      </c>
      <c r="I27" s="7" t="n">
        <f aca="false">LEN(H27)</f>
        <v>74</v>
      </c>
      <c r="J27" s="6" t="s">
        <v>117</v>
      </c>
      <c r="K27" s="7" t="n">
        <f aca="false">LEN(J27)</f>
        <v>13</v>
      </c>
      <c r="L27" s="6" t="s">
        <v>118</v>
      </c>
      <c r="M27" s="4" t="str">
        <f aca="false">Настройки!$B$2&amp;IF(L27="","?","?model="&amp;SUBSTITUTE(L27," ","+")&amp;"&amp;")&amp;Настройки!$B$3</f>
        <v>https://renal-auto.asia:8443/port?model=Coolray&amp;utm_source=yandex&amp;utm_medium=cpc&amp;utm_campaign={campaign_id}&amp;utm_content={ad_id}&amp;utm_term={keyword}</v>
      </c>
    </row>
    <row r="28" customFormat="false" ht="39.55" hidden="false" customHeight="false" outlineLevel="0" collapsed="false">
      <c r="A28" s="6" t="s">
        <v>109</v>
      </c>
      <c r="B28" s="6" t="s">
        <v>120</v>
      </c>
      <c r="C28" s="6" t="s">
        <v>49</v>
      </c>
      <c r="D28" s="4" t="s">
        <v>121</v>
      </c>
      <c r="E28" s="7" t="n">
        <f aca="false">LEN(D28)</f>
        <v>52</v>
      </c>
      <c r="F28" s="6" t="s">
        <v>51</v>
      </c>
      <c r="G28" s="7" t="n">
        <f aca="false">LEN(F28)</f>
        <v>20</v>
      </c>
      <c r="H28" s="4" t="s">
        <v>52</v>
      </c>
      <c r="I28" s="7" t="n">
        <f aca="false">LEN(H28)</f>
        <v>79</v>
      </c>
      <c r="J28" s="6" t="s">
        <v>122</v>
      </c>
      <c r="K28" s="7" t="n">
        <f aca="false">LEN(J28)</f>
        <v>12</v>
      </c>
      <c r="L28" s="6" t="s">
        <v>123</v>
      </c>
      <c r="M28" s="4" t="str">
        <f aca="false">Настройки!$B$2&amp;IF(L28="","?","?model="&amp;SUBSTITUTE(L28," ","+")&amp;"&amp;")&amp;Настройки!$B$3</f>
        <v>https://renal-auto.asia:8443/port?model=Jolion&amp;utm_source=yandex&amp;utm_medium=cpc&amp;utm_campaign={campaign_id}&amp;utm_content={ad_id}&amp;utm_term={keyword}</v>
      </c>
    </row>
    <row r="29" customFormat="false" ht="39.55" hidden="false" customHeight="false" outlineLevel="0" collapsed="false">
      <c r="A29" s="6" t="s">
        <v>109</v>
      </c>
      <c r="B29" s="6" t="s">
        <v>120</v>
      </c>
      <c r="C29" s="6" t="s">
        <v>55</v>
      </c>
      <c r="D29" s="4" t="s">
        <v>124</v>
      </c>
      <c r="E29" s="7" t="n">
        <f aca="false">LEN(D29)</f>
        <v>50</v>
      </c>
      <c r="F29" s="6" t="s">
        <v>57</v>
      </c>
      <c r="G29" s="7" t="n">
        <f aca="false">LEN(F29)</f>
        <v>17</v>
      </c>
      <c r="H29" s="4" t="s">
        <v>58</v>
      </c>
      <c r="I29" s="7" t="n">
        <f aca="false">LEN(H29)</f>
        <v>74</v>
      </c>
      <c r="J29" s="6" t="s">
        <v>122</v>
      </c>
      <c r="K29" s="7" t="n">
        <f aca="false">LEN(J29)</f>
        <v>12</v>
      </c>
      <c r="L29" s="6" t="s">
        <v>123</v>
      </c>
      <c r="M29" s="4" t="str">
        <f aca="false">Настройки!$B$2&amp;IF(L29="","?","?model="&amp;SUBSTITUTE(L29," ","+")&amp;"&amp;")&amp;Настройки!$B$3</f>
        <v>https://renal-auto.asia:8443/port?model=Jolion&amp;utm_source=yandex&amp;utm_medium=cpc&amp;utm_campaign={campaign_id}&amp;utm_content={ad_id}&amp;utm_term={keyword}</v>
      </c>
    </row>
    <row r="30" customFormat="false" ht="39.55" hidden="false" customHeight="false" outlineLevel="0" collapsed="false">
      <c r="A30" s="6" t="s">
        <v>109</v>
      </c>
      <c r="B30" s="6" t="s">
        <v>125</v>
      </c>
      <c r="C30" s="6" t="s">
        <v>49</v>
      </c>
      <c r="D30" s="4" t="s">
        <v>126</v>
      </c>
      <c r="E30" s="7" t="n">
        <f aca="false">LEN(D30)</f>
        <v>51</v>
      </c>
      <c r="F30" s="6" t="s">
        <v>51</v>
      </c>
      <c r="G30" s="7" t="n">
        <f aca="false">LEN(F30)</f>
        <v>20</v>
      </c>
      <c r="H30" s="4" t="s">
        <v>52</v>
      </c>
      <c r="I30" s="7" t="n">
        <f aca="false">LEN(H30)</f>
        <v>79</v>
      </c>
      <c r="J30" s="6" t="s">
        <v>127</v>
      </c>
      <c r="K30" s="7" t="n">
        <f aca="false">LEN(J30)</f>
        <v>11</v>
      </c>
      <c r="L30" s="6" t="s">
        <v>128</v>
      </c>
      <c r="M30" s="4" t="str">
        <f aca="false">Настройки!$B$2&amp;IF(L30="","?","?model="&amp;SUBSTITUTE(L30," ","+")&amp;"&amp;")&amp;Настройки!$B$3</f>
        <v>https://renal-auto.asia:8443/port?model=Dargo&amp;utm_source=yandex&amp;utm_medium=cpc&amp;utm_campaign={campaign_id}&amp;utm_content={ad_id}&amp;utm_term={keyword}</v>
      </c>
    </row>
    <row r="31" customFormat="false" ht="39.55" hidden="false" customHeight="false" outlineLevel="0" collapsed="false">
      <c r="A31" s="6" t="s">
        <v>109</v>
      </c>
      <c r="B31" s="6" t="s">
        <v>125</v>
      </c>
      <c r="C31" s="6" t="s">
        <v>55</v>
      </c>
      <c r="D31" s="4" t="s">
        <v>129</v>
      </c>
      <c r="E31" s="7" t="n">
        <f aca="false">LEN(D31)</f>
        <v>49</v>
      </c>
      <c r="F31" s="6" t="s">
        <v>57</v>
      </c>
      <c r="G31" s="7" t="n">
        <f aca="false">LEN(F31)</f>
        <v>17</v>
      </c>
      <c r="H31" s="4" t="s">
        <v>58</v>
      </c>
      <c r="I31" s="7" t="n">
        <f aca="false">LEN(H31)</f>
        <v>74</v>
      </c>
      <c r="J31" s="6" t="s">
        <v>127</v>
      </c>
      <c r="K31" s="7" t="n">
        <f aca="false">LEN(J31)</f>
        <v>11</v>
      </c>
      <c r="L31" s="6" t="s">
        <v>128</v>
      </c>
      <c r="M31" s="4" t="str">
        <f aca="false">Настройки!$B$2&amp;IF(L31="","?","?model="&amp;SUBSTITUTE(L31," ","+")&amp;"&amp;")&amp;Настройки!$B$3</f>
        <v>https://renal-auto.asia:8443/port?model=Dargo&amp;utm_source=yandex&amp;utm_medium=cpc&amp;utm_campaign={campaign_id}&amp;utm_content={ad_id}&amp;utm_term={keyword}</v>
      </c>
    </row>
    <row r="32" customFormat="false" ht="39.55" hidden="false" customHeight="false" outlineLevel="0" collapsed="false">
      <c r="A32" s="6" t="s">
        <v>109</v>
      </c>
      <c r="B32" s="6" t="s">
        <v>130</v>
      </c>
      <c r="C32" s="6" t="s">
        <v>49</v>
      </c>
      <c r="D32" s="4" t="s">
        <v>131</v>
      </c>
      <c r="E32" s="7" t="n">
        <f aca="false">LEN(D32)</f>
        <v>45</v>
      </c>
      <c r="F32" s="6" t="s">
        <v>51</v>
      </c>
      <c r="G32" s="7" t="n">
        <f aca="false">LEN(F32)</f>
        <v>20</v>
      </c>
      <c r="H32" s="4" t="s">
        <v>52</v>
      </c>
      <c r="I32" s="7" t="n">
        <f aca="false">LEN(H32)</f>
        <v>79</v>
      </c>
      <c r="J32" s="6" t="s">
        <v>132</v>
      </c>
      <c r="K32" s="7" t="n">
        <f aca="false">LEN(J32)</f>
        <v>13</v>
      </c>
      <c r="L32" s="6" t="s">
        <v>133</v>
      </c>
      <c r="M32" s="4" t="str">
        <f aca="false">Настройки!$B$2&amp;IF(L32="","?","?model="&amp;SUBSTITUTE(L32," ","+")&amp;"&amp;")&amp;Настройки!$B$3</f>
        <v>https://renal-auto.asia:8443/port?model=Tiggo+7&amp;utm_source=yandex&amp;utm_medium=cpc&amp;utm_campaign={campaign_id}&amp;utm_content={ad_id}&amp;utm_term={keyword}</v>
      </c>
    </row>
    <row r="33" customFormat="false" ht="39.55" hidden="false" customHeight="false" outlineLevel="0" collapsed="false">
      <c r="A33" s="6" t="s">
        <v>109</v>
      </c>
      <c r="B33" s="6" t="s">
        <v>130</v>
      </c>
      <c r="C33" s="6" t="s">
        <v>55</v>
      </c>
      <c r="D33" s="4" t="s">
        <v>134</v>
      </c>
      <c r="E33" s="7" t="n">
        <f aca="false">LEN(D33)</f>
        <v>55</v>
      </c>
      <c r="F33" s="6" t="s">
        <v>57</v>
      </c>
      <c r="G33" s="7" t="n">
        <f aca="false">LEN(F33)</f>
        <v>17</v>
      </c>
      <c r="H33" s="4" t="s">
        <v>58</v>
      </c>
      <c r="I33" s="7" t="n">
        <f aca="false">LEN(H33)</f>
        <v>74</v>
      </c>
      <c r="J33" s="6" t="s">
        <v>132</v>
      </c>
      <c r="K33" s="7" t="n">
        <f aca="false">LEN(J33)</f>
        <v>13</v>
      </c>
      <c r="L33" s="6" t="s">
        <v>133</v>
      </c>
      <c r="M33" s="4" t="str">
        <f aca="false">Настройки!$B$2&amp;IF(L33="","?","?model="&amp;SUBSTITUTE(L33," ","+")&amp;"&amp;")&amp;Настройки!$B$3</f>
        <v>https://renal-auto.asia:8443/port?model=Tiggo+7&amp;utm_source=yandex&amp;utm_medium=cpc&amp;utm_campaign={campaign_id}&amp;utm_content={ad_id}&amp;utm_term={keyword}</v>
      </c>
    </row>
    <row r="34" customFormat="false" ht="39.55" hidden="false" customHeight="false" outlineLevel="0" collapsed="false">
      <c r="A34" s="6" t="s">
        <v>109</v>
      </c>
      <c r="B34" s="6" t="s">
        <v>135</v>
      </c>
      <c r="C34" s="6" t="s">
        <v>49</v>
      </c>
      <c r="D34" s="4" t="s">
        <v>136</v>
      </c>
      <c r="E34" s="7" t="n">
        <f aca="false">LEN(D34)</f>
        <v>53</v>
      </c>
      <c r="F34" s="6" t="s">
        <v>51</v>
      </c>
      <c r="G34" s="7" t="n">
        <f aca="false">LEN(F34)</f>
        <v>20</v>
      </c>
      <c r="H34" s="4" t="s">
        <v>52</v>
      </c>
      <c r="I34" s="7" t="n">
        <f aca="false">LEN(H34)</f>
        <v>79</v>
      </c>
      <c r="J34" s="6" t="s">
        <v>137</v>
      </c>
      <c r="K34" s="7" t="n">
        <f aca="false">LEN(J34)</f>
        <v>13</v>
      </c>
      <c r="L34" s="6" t="s">
        <v>138</v>
      </c>
      <c r="M34" s="4" t="str">
        <f aca="false">Настройки!$B$2&amp;IF(L34="","?","?model="&amp;SUBSTITUTE(L34," ","+")&amp;"&amp;")&amp;Настройки!$B$3</f>
        <v>https://renal-auto.asia:8443/port?model=Tiggo+8&amp;utm_source=yandex&amp;utm_medium=cpc&amp;utm_campaign={campaign_id}&amp;utm_content={ad_id}&amp;utm_term={keyword}</v>
      </c>
    </row>
    <row r="35" customFormat="false" ht="39.55" hidden="false" customHeight="false" outlineLevel="0" collapsed="false">
      <c r="A35" s="6" t="s">
        <v>109</v>
      </c>
      <c r="B35" s="6" t="s">
        <v>135</v>
      </c>
      <c r="C35" s="6" t="s">
        <v>55</v>
      </c>
      <c r="D35" s="4" t="s">
        <v>139</v>
      </c>
      <c r="E35" s="7" t="n">
        <f aca="false">LEN(D35)</f>
        <v>51</v>
      </c>
      <c r="F35" s="6" t="s">
        <v>57</v>
      </c>
      <c r="G35" s="7" t="n">
        <f aca="false">LEN(F35)</f>
        <v>17</v>
      </c>
      <c r="H35" s="4" t="s">
        <v>58</v>
      </c>
      <c r="I35" s="7" t="n">
        <f aca="false">LEN(H35)</f>
        <v>74</v>
      </c>
      <c r="J35" s="6" t="s">
        <v>137</v>
      </c>
      <c r="K35" s="7" t="n">
        <f aca="false">LEN(J35)</f>
        <v>13</v>
      </c>
      <c r="L35" s="6" t="s">
        <v>138</v>
      </c>
      <c r="M35" s="4" t="str">
        <f aca="false">Настройки!$B$2&amp;IF(L35="","?","?model="&amp;SUBSTITUTE(L35," ","+")&amp;"&amp;")&amp;Настройки!$B$3</f>
        <v>https://renal-auto.asia:8443/port?model=Tiggo+8&amp;utm_source=yandex&amp;utm_medium=cpc&amp;utm_campaign={campaign_id}&amp;utm_content={ad_id}&amp;utm_term={keyword}</v>
      </c>
    </row>
    <row r="36" customFormat="false" ht="39.55" hidden="false" customHeight="false" outlineLevel="0" collapsed="false">
      <c r="A36" s="6" t="s">
        <v>109</v>
      </c>
      <c r="B36" s="6" t="s">
        <v>140</v>
      </c>
      <c r="C36" s="6" t="s">
        <v>49</v>
      </c>
      <c r="D36" s="4" t="s">
        <v>141</v>
      </c>
      <c r="E36" s="7" t="n">
        <f aca="false">LEN(D36)</f>
        <v>45</v>
      </c>
      <c r="F36" s="6" t="s">
        <v>51</v>
      </c>
      <c r="G36" s="7" t="n">
        <f aca="false">LEN(F36)</f>
        <v>20</v>
      </c>
      <c r="H36" s="4" t="s">
        <v>52</v>
      </c>
      <c r="I36" s="7" t="n">
        <f aca="false">LEN(H36)</f>
        <v>79</v>
      </c>
      <c r="J36" s="6" t="s">
        <v>142</v>
      </c>
      <c r="K36" s="7" t="n">
        <f aca="false">LEN(J36)</f>
        <v>12</v>
      </c>
      <c r="L36" s="6" t="s">
        <v>143</v>
      </c>
      <c r="M36" s="4" t="str">
        <f aca="false">Настройки!$B$2&amp;IF(L36="","?","?model="&amp;SUBSTITUTE(L36," ","+")&amp;"&amp;")&amp;Настройки!$B$3</f>
        <v>https://renal-auto.asia:8443/port?model=CS75&amp;utm_source=yandex&amp;utm_medium=cpc&amp;utm_campaign={campaign_id}&amp;utm_content={ad_id}&amp;utm_term={keyword}</v>
      </c>
    </row>
    <row r="37" customFormat="false" ht="39.55" hidden="false" customHeight="false" outlineLevel="0" collapsed="false">
      <c r="A37" s="6" t="s">
        <v>109</v>
      </c>
      <c r="B37" s="6" t="s">
        <v>140</v>
      </c>
      <c r="C37" s="6" t="s">
        <v>55</v>
      </c>
      <c r="D37" s="4" t="s">
        <v>144</v>
      </c>
      <c r="E37" s="7" t="n">
        <f aca="false">LEN(D37)</f>
        <v>55</v>
      </c>
      <c r="F37" s="6" t="s">
        <v>57</v>
      </c>
      <c r="G37" s="7" t="n">
        <f aca="false">LEN(F37)</f>
        <v>17</v>
      </c>
      <c r="H37" s="4" t="s">
        <v>58</v>
      </c>
      <c r="I37" s="7" t="n">
        <f aca="false">LEN(H37)</f>
        <v>74</v>
      </c>
      <c r="J37" s="6" t="s">
        <v>142</v>
      </c>
      <c r="K37" s="7" t="n">
        <f aca="false">LEN(J37)</f>
        <v>12</v>
      </c>
      <c r="L37" s="6" t="s">
        <v>143</v>
      </c>
      <c r="M37" s="4" t="str">
        <f aca="false">Настройки!$B$2&amp;IF(L37="","?","?model="&amp;SUBSTITUTE(L37," ","+")&amp;"&amp;")&amp;Настройки!$B$3</f>
        <v>https://renal-auto.asia:8443/port?model=CS75&amp;utm_source=yandex&amp;utm_medium=cpc&amp;utm_campaign={campaign_id}&amp;utm_content={ad_id}&amp;utm_term={keyword}</v>
      </c>
    </row>
    <row r="38" customFormat="false" ht="39.55" hidden="false" customHeight="false" outlineLevel="0" collapsed="false">
      <c r="A38" s="6" t="s">
        <v>109</v>
      </c>
      <c r="B38" s="6" t="s">
        <v>145</v>
      </c>
      <c r="C38" s="6" t="s">
        <v>49</v>
      </c>
      <c r="D38" s="4" t="s">
        <v>146</v>
      </c>
      <c r="E38" s="7" t="n">
        <f aca="false">LEN(D38)</f>
        <v>53</v>
      </c>
      <c r="F38" s="6" t="s">
        <v>51</v>
      </c>
      <c r="G38" s="7" t="n">
        <f aca="false">LEN(F38)</f>
        <v>20</v>
      </c>
      <c r="H38" s="4" t="s">
        <v>52</v>
      </c>
      <c r="I38" s="7" t="n">
        <f aca="false">LEN(H38)</f>
        <v>79</v>
      </c>
      <c r="J38" s="6" t="s">
        <v>147</v>
      </c>
      <c r="K38" s="7" t="n">
        <f aca="false">LEN(J38)</f>
        <v>13</v>
      </c>
      <c r="L38" s="6" t="s">
        <v>148</v>
      </c>
      <c r="M38" s="4" t="str">
        <f aca="false">Настройки!$B$2&amp;IF(L38="","?","?model="&amp;SUBSTITUTE(L38," ","+")&amp;"&amp;")&amp;Настройки!$B$3</f>
        <v>https://renal-auto.asia:8443/port?model=UNI-K&amp;utm_source=yandex&amp;utm_medium=cpc&amp;utm_campaign={campaign_id}&amp;utm_content={ad_id}&amp;utm_term={keyword}</v>
      </c>
    </row>
    <row r="39" customFormat="false" ht="39.55" hidden="false" customHeight="false" outlineLevel="0" collapsed="false">
      <c r="A39" s="6" t="s">
        <v>109</v>
      </c>
      <c r="B39" s="6" t="s">
        <v>145</v>
      </c>
      <c r="C39" s="6" t="s">
        <v>55</v>
      </c>
      <c r="D39" s="4" t="s">
        <v>149</v>
      </c>
      <c r="E39" s="7" t="n">
        <f aca="false">LEN(D39)</f>
        <v>51</v>
      </c>
      <c r="F39" s="6" t="s">
        <v>57</v>
      </c>
      <c r="G39" s="7" t="n">
        <f aca="false">LEN(F39)</f>
        <v>17</v>
      </c>
      <c r="H39" s="4" t="s">
        <v>58</v>
      </c>
      <c r="I39" s="7" t="n">
        <f aca="false">LEN(H39)</f>
        <v>74</v>
      </c>
      <c r="J39" s="6" t="s">
        <v>147</v>
      </c>
      <c r="K39" s="7" t="n">
        <f aca="false">LEN(J39)</f>
        <v>13</v>
      </c>
      <c r="L39" s="6" t="s">
        <v>148</v>
      </c>
      <c r="M39" s="4" t="str">
        <f aca="false">Настройки!$B$2&amp;IF(L39="","?","?model="&amp;SUBSTITUTE(L39," ","+")&amp;"&amp;")&amp;Настройки!$B$3</f>
        <v>https://renal-auto.asia:8443/port?model=UNI-K&amp;utm_source=yandex&amp;utm_medium=cpc&amp;utm_campaign={campaign_id}&amp;utm_content={ad_id}&amp;utm_term={keyword}</v>
      </c>
    </row>
    <row r="40" customFormat="false" ht="39.55" hidden="false" customHeight="false" outlineLevel="0" collapsed="false">
      <c r="A40" s="6" t="s">
        <v>150</v>
      </c>
      <c r="B40" s="6" t="s">
        <v>151</v>
      </c>
      <c r="C40" s="6" t="s">
        <v>49</v>
      </c>
      <c r="D40" s="4" t="s">
        <v>152</v>
      </c>
      <c r="E40" s="7" t="n">
        <f aca="false">LEN(D40)</f>
        <v>44</v>
      </c>
      <c r="F40" s="6" t="s">
        <v>51</v>
      </c>
      <c r="G40" s="7" t="n">
        <f aca="false">LEN(F40)</f>
        <v>20</v>
      </c>
      <c r="H40" s="4" t="s">
        <v>52</v>
      </c>
      <c r="I40" s="7" t="n">
        <f aca="false">LEN(H40)</f>
        <v>79</v>
      </c>
      <c r="J40" s="6" t="s">
        <v>153</v>
      </c>
      <c r="K40" s="7" t="n">
        <f aca="false">LEN(J40)</f>
        <v>13</v>
      </c>
      <c r="L40" s="6"/>
      <c r="M40" s="4" t="str">
        <f aca="false">Настройки!$B$2&amp;IF(L40="","?","?model="&amp;SUBSTITUTE(L40," ","+")&amp;"&amp;")&amp;Настройки!$B$3</f>
        <v>https://renal-auto.asia:8443/port?utm_source=yandex&amp;utm_medium=cpc&amp;utm_campaign={campaign_id}&amp;utm_content={ad_id}&amp;utm_term={keyword}</v>
      </c>
    </row>
    <row r="41" customFormat="false" ht="39.55" hidden="false" customHeight="false" outlineLevel="0" collapsed="false">
      <c r="A41" s="6" t="s">
        <v>150</v>
      </c>
      <c r="B41" s="6" t="s">
        <v>151</v>
      </c>
      <c r="C41" s="6" t="s">
        <v>55</v>
      </c>
      <c r="D41" s="4" t="s">
        <v>154</v>
      </c>
      <c r="E41" s="7" t="n">
        <f aca="false">LEN(D41)</f>
        <v>42</v>
      </c>
      <c r="F41" s="6" t="s">
        <v>57</v>
      </c>
      <c r="G41" s="7" t="n">
        <f aca="false">LEN(F41)</f>
        <v>17</v>
      </c>
      <c r="H41" s="4" t="s">
        <v>58</v>
      </c>
      <c r="I41" s="7" t="n">
        <f aca="false">LEN(H41)</f>
        <v>74</v>
      </c>
      <c r="J41" s="6" t="s">
        <v>153</v>
      </c>
      <c r="K41" s="7" t="n">
        <f aca="false">LEN(J41)</f>
        <v>13</v>
      </c>
      <c r="L41" s="6"/>
      <c r="M41" s="4" t="str">
        <f aca="false">Настройки!$B$2&amp;IF(L41="","?","?model="&amp;SUBSTITUTE(L41," ","+")&amp;"&amp;")&amp;Настройки!$B$3</f>
        <v>https://renal-auto.asia:8443/port?utm_source=yandex&amp;utm_medium=cpc&amp;utm_campaign={campaign_id}&amp;utm_content={ad_id}&amp;utm_term={keyword}</v>
      </c>
    </row>
    <row r="42" customFormat="false" ht="39.55" hidden="false" customHeight="false" outlineLevel="0" collapsed="false">
      <c r="A42" s="6" t="s">
        <v>150</v>
      </c>
      <c r="B42" s="6" t="s">
        <v>155</v>
      </c>
      <c r="C42" s="6" t="s">
        <v>49</v>
      </c>
      <c r="D42" s="4" t="s">
        <v>156</v>
      </c>
      <c r="E42" s="7" t="n">
        <f aca="false">LEN(D42)</f>
        <v>44</v>
      </c>
      <c r="F42" s="6" t="s">
        <v>51</v>
      </c>
      <c r="G42" s="7" t="n">
        <f aca="false">LEN(F42)</f>
        <v>20</v>
      </c>
      <c r="H42" s="4" t="s">
        <v>52</v>
      </c>
      <c r="I42" s="7" t="n">
        <f aca="false">LEN(H42)</f>
        <v>79</v>
      </c>
      <c r="J42" s="6" t="s">
        <v>157</v>
      </c>
      <c r="K42" s="7" t="n">
        <f aca="false">LEN(J42)</f>
        <v>13</v>
      </c>
      <c r="L42" s="6"/>
      <c r="M42" s="4" t="str">
        <f aca="false">Настройки!$B$2&amp;IF(L42="","?","?model="&amp;SUBSTITUTE(L42," ","+")&amp;"&amp;")&amp;Настройки!$B$3</f>
        <v>https://renal-auto.asia:8443/port?utm_source=yandex&amp;utm_medium=cpc&amp;utm_campaign={campaign_id}&amp;utm_content={ad_id}&amp;utm_term={keyword}</v>
      </c>
    </row>
    <row r="43" customFormat="false" ht="39.55" hidden="false" customHeight="false" outlineLevel="0" collapsed="false">
      <c r="A43" s="6" t="s">
        <v>150</v>
      </c>
      <c r="B43" s="6" t="s">
        <v>155</v>
      </c>
      <c r="C43" s="6" t="s">
        <v>55</v>
      </c>
      <c r="D43" s="4" t="s">
        <v>158</v>
      </c>
      <c r="E43" s="7" t="n">
        <f aca="false">LEN(D43)</f>
        <v>42</v>
      </c>
      <c r="F43" s="6" t="s">
        <v>57</v>
      </c>
      <c r="G43" s="7" t="n">
        <f aca="false">LEN(F43)</f>
        <v>17</v>
      </c>
      <c r="H43" s="4" t="s">
        <v>58</v>
      </c>
      <c r="I43" s="7" t="n">
        <f aca="false">LEN(H43)</f>
        <v>74</v>
      </c>
      <c r="J43" s="6" t="s">
        <v>157</v>
      </c>
      <c r="K43" s="7" t="n">
        <f aca="false">LEN(J43)</f>
        <v>13</v>
      </c>
      <c r="L43" s="6"/>
      <c r="M43" s="4" t="str">
        <f aca="false">Настройки!$B$2&amp;IF(L43="","?","?model="&amp;SUBSTITUTE(L43," ","+")&amp;"&amp;")&amp;Настройки!$B$3</f>
        <v>https://renal-auto.asia:8443/port?utm_source=yandex&amp;utm_medium=cpc&amp;utm_campaign={campaign_id}&amp;utm_content={ad_id}&amp;utm_term={keyword}</v>
      </c>
    </row>
    <row r="44" customFormat="false" ht="39.55" hidden="false" customHeight="false" outlineLevel="0" collapsed="false">
      <c r="A44" s="6" t="s">
        <v>150</v>
      </c>
      <c r="B44" s="6" t="s">
        <v>159</v>
      </c>
      <c r="C44" s="6" t="s">
        <v>49</v>
      </c>
      <c r="D44" s="4" t="s">
        <v>160</v>
      </c>
      <c r="E44" s="7" t="n">
        <f aca="false">LEN(D44)</f>
        <v>52</v>
      </c>
      <c r="F44" s="6" t="s">
        <v>51</v>
      </c>
      <c r="G44" s="7" t="n">
        <f aca="false">LEN(F44)</f>
        <v>20</v>
      </c>
      <c r="H44" s="4" t="s">
        <v>52</v>
      </c>
      <c r="I44" s="7" t="n">
        <f aca="false">LEN(H44)</f>
        <v>79</v>
      </c>
      <c r="J44" s="6" t="s">
        <v>161</v>
      </c>
      <c r="K44" s="7" t="n">
        <f aca="false">LEN(J44)</f>
        <v>11</v>
      </c>
      <c r="L44" s="6"/>
      <c r="M44" s="4" t="str">
        <f aca="false">Настройки!$B$2&amp;IF(L44="","?","?model="&amp;SUBSTITUTE(L44," ","+")&amp;"&amp;")&amp;Настройки!$B$3</f>
        <v>https://renal-auto.asia:8443/port?utm_source=yandex&amp;utm_medium=cpc&amp;utm_campaign={campaign_id}&amp;utm_content={ad_id}&amp;utm_term={keyword}</v>
      </c>
    </row>
    <row r="45" customFormat="false" ht="39.55" hidden="false" customHeight="false" outlineLevel="0" collapsed="false">
      <c r="A45" s="6" t="s">
        <v>150</v>
      </c>
      <c r="B45" s="6" t="s">
        <v>159</v>
      </c>
      <c r="C45" s="6" t="s">
        <v>55</v>
      </c>
      <c r="D45" s="4" t="s">
        <v>162</v>
      </c>
      <c r="E45" s="7" t="n">
        <f aca="false">LEN(D45)</f>
        <v>50</v>
      </c>
      <c r="F45" s="6" t="s">
        <v>57</v>
      </c>
      <c r="G45" s="7" t="n">
        <f aca="false">LEN(F45)</f>
        <v>17</v>
      </c>
      <c r="H45" s="4" t="s">
        <v>58</v>
      </c>
      <c r="I45" s="7" t="n">
        <f aca="false">LEN(H45)</f>
        <v>74</v>
      </c>
      <c r="J45" s="6" t="s">
        <v>161</v>
      </c>
      <c r="K45" s="7" t="n">
        <f aca="false">LEN(J45)</f>
        <v>11</v>
      </c>
      <c r="L45" s="6"/>
      <c r="M45" s="4" t="str">
        <f aca="false">Настройки!$B$2&amp;IF(L45="","?","?model="&amp;SUBSTITUTE(L45," ","+")&amp;"&amp;")&amp;Настройки!$B$3</f>
        <v>https://renal-auto.asia:8443/port?utm_source=yandex&amp;utm_medium=cpc&amp;utm_campaign={campaign_id}&amp;utm_content={ad_id}&amp;utm_term={keyword}</v>
      </c>
    </row>
  </sheetData>
  <conditionalFormatting sqref="E2:E45">
    <cfRule type="expression" priority="2" aboveAverage="0" equalAverage="0" bottom="0" percent="0" rank="0" text="" dxfId="0">
      <formula>E2&gt;56</formula>
    </cfRule>
  </conditionalFormatting>
  <conditionalFormatting sqref="G2:G45">
    <cfRule type="expression" priority="3" aboveAverage="0" equalAverage="0" bottom="0" percent="0" rank="0" text="" dxfId="0">
      <formula>G2&gt;30</formula>
    </cfRule>
  </conditionalFormatting>
  <conditionalFormatting sqref="I2:I45">
    <cfRule type="expression" priority="4" aboveAverage="0" equalAverage="0" bottom="0" percent="0" rank="0" text="" dxfId="0">
      <formula>I2&gt;81</formula>
    </cfRule>
  </conditionalFormatting>
  <conditionalFormatting sqref="K2:K45">
    <cfRule type="expression" priority="5" aboveAverage="0" equalAverage="0" bottom="0" percent="0" rank="0" text="" dxfId="0">
      <formula>K2&gt;20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50"/>
  </cols>
  <sheetData>
    <row r="1" customFormat="false" ht="15" hidden="false" customHeight="false" outlineLevel="0" collapsed="false">
      <c r="A1" s="5" t="s">
        <v>37</v>
      </c>
      <c r="B1" s="5" t="s">
        <v>38</v>
      </c>
      <c r="C1" s="5" t="s">
        <v>163</v>
      </c>
    </row>
    <row r="2" customFormat="false" ht="15" hidden="false" customHeight="false" outlineLevel="0" collapsed="false">
      <c r="A2" s="8" t="s">
        <v>47</v>
      </c>
      <c r="B2" s="8" t="s">
        <v>48</v>
      </c>
      <c r="C2" s="8" t="s">
        <v>164</v>
      </c>
    </row>
    <row r="3" customFormat="false" ht="15" hidden="false" customHeight="false" outlineLevel="0" collapsed="false">
      <c r="A3" s="8" t="s">
        <v>47</v>
      </c>
      <c r="B3" s="8" t="s">
        <v>48</v>
      </c>
      <c r="C3" s="8" t="s">
        <v>165</v>
      </c>
    </row>
    <row r="4" customFormat="false" ht="15" hidden="false" customHeight="false" outlineLevel="0" collapsed="false">
      <c r="A4" s="8" t="s">
        <v>47</v>
      </c>
      <c r="B4" s="8" t="s">
        <v>48</v>
      </c>
      <c r="C4" s="8" t="s">
        <v>166</v>
      </c>
    </row>
    <row r="5" customFormat="false" ht="15" hidden="false" customHeight="false" outlineLevel="0" collapsed="false">
      <c r="A5" s="8" t="s">
        <v>47</v>
      </c>
      <c r="B5" s="8" t="s">
        <v>48</v>
      </c>
      <c r="C5" s="8" t="s">
        <v>167</v>
      </c>
    </row>
    <row r="6" customFormat="false" ht="15" hidden="false" customHeight="false" outlineLevel="0" collapsed="false">
      <c r="A6" s="8" t="s">
        <v>47</v>
      </c>
      <c r="B6" s="8" t="s">
        <v>48</v>
      </c>
      <c r="C6" s="8" t="s">
        <v>168</v>
      </c>
    </row>
    <row r="7" customFormat="false" ht="15" hidden="false" customHeight="false" outlineLevel="0" collapsed="false">
      <c r="A7" s="8" t="s">
        <v>47</v>
      </c>
      <c r="B7" s="8" t="s">
        <v>48</v>
      </c>
      <c r="C7" s="8" t="s">
        <v>169</v>
      </c>
    </row>
    <row r="8" customFormat="false" ht="15" hidden="false" customHeight="false" outlineLevel="0" collapsed="false">
      <c r="A8" s="8" t="s">
        <v>47</v>
      </c>
      <c r="B8" s="8" t="s">
        <v>48</v>
      </c>
      <c r="C8" s="8" t="s">
        <v>170</v>
      </c>
    </row>
    <row r="9" customFormat="false" ht="15" hidden="false" customHeight="false" outlineLevel="0" collapsed="false">
      <c r="A9" s="8" t="s">
        <v>47</v>
      </c>
      <c r="B9" s="8" t="s">
        <v>48</v>
      </c>
      <c r="C9" s="8" t="s">
        <v>171</v>
      </c>
    </row>
    <row r="10" customFormat="false" ht="15" hidden="false" customHeight="false" outlineLevel="0" collapsed="false">
      <c r="A10" s="8" t="s">
        <v>47</v>
      </c>
      <c r="B10" s="8" t="s">
        <v>48</v>
      </c>
      <c r="C10" s="8" t="s">
        <v>172</v>
      </c>
    </row>
    <row r="11" customFormat="false" ht="15" hidden="false" customHeight="false" outlineLevel="0" collapsed="false">
      <c r="A11" s="8" t="s">
        <v>47</v>
      </c>
      <c r="B11" s="8" t="s">
        <v>48</v>
      </c>
      <c r="C11" s="8" t="s">
        <v>173</v>
      </c>
    </row>
    <row r="12" customFormat="false" ht="15" hidden="false" customHeight="false" outlineLevel="0" collapsed="false">
      <c r="A12" s="8" t="s">
        <v>47</v>
      </c>
      <c r="B12" s="8" t="s">
        <v>48</v>
      </c>
      <c r="C12" s="8" t="s">
        <v>174</v>
      </c>
    </row>
    <row r="13" customFormat="false" ht="15" hidden="false" customHeight="false" outlineLevel="0" collapsed="false">
      <c r="A13" s="8" t="s">
        <v>47</v>
      </c>
      <c r="B13" s="8" t="s">
        <v>48</v>
      </c>
      <c r="C13" s="8" t="s">
        <v>175</v>
      </c>
    </row>
    <row r="14" customFormat="false" ht="15" hidden="false" customHeight="false" outlineLevel="0" collapsed="false">
      <c r="A14" s="8" t="s">
        <v>47</v>
      </c>
      <c r="B14" s="8" t="s">
        <v>48</v>
      </c>
      <c r="C14" s="8" t="s">
        <v>176</v>
      </c>
    </row>
    <row r="15" customFormat="false" ht="15" hidden="false" customHeight="false" outlineLevel="0" collapsed="false">
      <c r="A15" s="8" t="s">
        <v>47</v>
      </c>
      <c r="B15" s="8" t="s">
        <v>48</v>
      </c>
      <c r="C15" s="8" t="s">
        <v>177</v>
      </c>
    </row>
    <row r="16" customFormat="false" ht="15" hidden="false" customHeight="false" outlineLevel="0" collapsed="false">
      <c r="A16" s="8" t="s">
        <v>47</v>
      </c>
      <c r="B16" s="8" t="s">
        <v>48</v>
      </c>
      <c r="C16" s="8" t="s">
        <v>178</v>
      </c>
    </row>
    <row r="17" customFormat="false" ht="15" hidden="false" customHeight="false" outlineLevel="0" collapsed="false">
      <c r="A17" s="8" t="s">
        <v>47</v>
      </c>
      <c r="B17" s="8" t="s">
        <v>59</v>
      </c>
      <c r="C17" s="8" t="s">
        <v>179</v>
      </c>
    </row>
    <row r="18" customFormat="false" ht="15" hidden="false" customHeight="false" outlineLevel="0" collapsed="false">
      <c r="A18" s="8" t="s">
        <v>47</v>
      </c>
      <c r="B18" s="8" t="s">
        <v>59</v>
      </c>
      <c r="C18" s="8" t="s">
        <v>180</v>
      </c>
    </row>
    <row r="19" customFormat="false" ht="15" hidden="false" customHeight="false" outlineLevel="0" collapsed="false">
      <c r="A19" s="8" t="s">
        <v>47</v>
      </c>
      <c r="B19" s="8" t="s">
        <v>59</v>
      </c>
      <c r="C19" s="8" t="s">
        <v>181</v>
      </c>
    </row>
    <row r="20" customFormat="false" ht="15" hidden="false" customHeight="false" outlineLevel="0" collapsed="false">
      <c r="A20" s="8" t="s">
        <v>47</v>
      </c>
      <c r="B20" s="8" t="s">
        <v>59</v>
      </c>
      <c r="C20" s="8" t="s">
        <v>182</v>
      </c>
    </row>
    <row r="21" customFormat="false" ht="15" hidden="false" customHeight="false" outlineLevel="0" collapsed="false">
      <c r="A21" s="8" t="s">
        <v>47</v>
      </c>
      <c r="B21" s="8" t="s">
        <v>59</v>
      </c>
      <c r="C21" s="8" t="s">
        <v>183</v>
      </c>
    </row>
    <row r="22" customFormat="false" ht="15" hidden="false" customHeight="false" outlineLevel="0" collapsed="false">
      <c r="A22" s="8" t="s">
        <v>47</v>
      </c>
      <c r="B22" s="8" t="s">
        <v>59</v>
      </c>
      <c r="C22" s="8" t="s">
        <v>184</v>
      </c>
    </row>
    <row r="23" customFormat="false" ht="15" hidden="false" customHeight="false" outlineLevel="0" collapsed="false">
      <c r="A23" s="8" t="s">
        <v>47</v>
      </c>
      <c r="B23" s="8" t="s">
        <v>59</v>
      </c>
      <c r="C23" s="8" t="s">
        <v>185</v>
      </c>
    </row>
    <row r="24" customFormat="false" ht="15" hidden="false" customHeight="false" outlineLevel="0" collapsed="false">
      <c r="A24" s="8" t="s">
        <v>47</v>
      </c>
      <c r="B24" s="8" t="s">
        <v>59</v>
      </c>
      <c r="C24" s="8" t="s">
        <v>186</v>
      </c>
    </row>
    <row r="25" customFormat="false" ht="15" hidden="false" customHeight="false" outlineLevel="0" collapsed="false">
      <c r="A25" s="8" t="s">
        <v>47</v>
      </c>
      <c r="B25" s="8" t="s">
        <v>59</v>
      </c>
      <c r="C25" s="8" t="s">
        <v>187</v>
      </c>
    </row>
    <row r="26" customFormat="false" ht="15" hidden="false" customHeight="false" outlineLevel="0" collapsed="false">
      <c r="A26" s="8" t="s">
        <v>47</v>
      </c>
      <c r="B26" s="8" t="s">
        <v>59</v>
      </c>
      <c r="C26" s="8" t="s">
        <v>188</v>
      </c>
    </row>
    <row r="27" customFormat="false" ht="15" hidden="false" customHeight="false" outlineLevel="0" collapsed="false">
      <c r="A27" s="8" t="s">
        <v>47</v>
      </c>
      <c r="B27" s="8" t="s">
        <v>64</v>
      </c>
      <c r="C27" s="8" t="s">
        <v>189</v>
      </c>
    </row>
    <row r="28" customFormat="false" ht="15" hidden="false" customHeight="false" outlineLevel="0" collapsed="false">
      <c r="A28" s="8" t="s">
        <v>47</v>
      </c>
      <c r="B28" s="8" t="s">
        <v>64</v>
      </c>
      <c r="C28" s="8" t="s">
        <v>190</v>
      </c>
    </row>
    <row r="29" customFormat="false" ht="15" hidden="false" customHeight="false" outlineLevel="0" collapsed="false">
      <c r="A29" s="8" t="s">
        <v>47</v>
      </c>
      <c r="B29" s="8" t="s">
        <v>64</v>
      </c>
      <c r="C29" s="8" t="s">
        <v>191</v>
      </c>
    </row>
    <row r="30" customFormat="false" ht="15" hidden="false" customHeight="false" outlineLevel="0" collapsed="false">
      <c r="A30" s="8" t="s">
        <v>47</v>
      </c>
      <c r="B30" s="8" t="s">
        <v>64</v>
      </c>
      <c r="C30" s="8" t="s">
        <v>192</v>
      </c>
    </row>
    <row r="31" customFormat="false" ht="15" hidden="false" customHeight="false" outlineLevel="0" collapsed="false">
      <c r="A31" s="8" t="s">
        <v>47</v>
      </c>
      <c r="B31" s="8" t="s">
        <v>64</v>
      </c>
      <c r="C31" s="8" t="s">
        <v>193</v>
      </c>
    </row>
    <row r="32" customFormat="false" ht="15" hidden="false" customHeight="false" outlineLevel="0" collapsed="false">
      <c r="A32" s="8" t="s">
        <v>47</v>
      </c>
      <c r="B32" s="8" t="s">
        <v>64</v>
      </c>
      <c r="C32" s="8" t="s">
        <v>194</v>
      </c>
    </row>
    <row r="33" customFormat="false" ht="15" hidden="false" customHeight="false" outlineLevel="0" collapsed="false">
      <c r="A33" s="8" t="s">
        <v>47</v>
      </c>
      <c r="B33" s="8" t="s">
        <v>64</v>
      </c>
      <c r="C33" s="8" t="s">
        <v>195</v>
      </c>
    </row>
    <row r="34" customFormat="false" ht="15" hidden="false" customHeight="false" outlineLevel="0" collapsed="false">
      <c r="A34" s="8" t="s">
        <v>47</v>
      </c>
      <c r="B34" s="8" t="s">
        <v>64</v>
      </c>
      <c r="C34" s="8" t="s">
        <v>196</v>
      </c>
    </row>
    <row r="35" customFormat="false" ht="15" hidden="false" customHeight="false" outlineLevel="0" collapsed="false">
      <c r="A35" s="8" t="s">
        <v>47</v>
      </c>
      <c r="B35" s="8" t="s">
        <v>64</v>
      </c>
      <c r="C35" s="8" t="s">
        <v>197</v>
      </c>
    </row>
    <row r="36" customFormat="false" ht="15" hidden="false" customHeight="false" outlineLevel="0" collapsed="false">
      <c r="A36" s="8" t="s">
        <v>47</v>
      </c>
      <c r="B36" s="8" t="s">
        <v>64</v>
      </c>
      <c r="C36" s="8" t="s">
        <v>198</v>
      </c>
    </row>
    <row r="37" customFormat="false" ht="15" hidden="false" customHeight="false" outlineLevel="0" collapsed="false">
      <c r="A37" s="8" t="s">
        <v>47</v>
      </c>
      <c r="B37" s="8" t="s">
        <v>69</v>
      </c>
      <c r="C37" s="8" t="s">
        <v>199</v>
      </c>
    </row>
    <row r="38" customFormat="false" ht="15" hidden="false" customHeight="false" outlineLevel="0" collapsed="false">
      <c r="A38" s="8" t="s">
        <v>47</v>
      </c>
      <c r="B38" s="8" t="s">
        <v>69</v>
      </c>
      <c r="C38" s="8" t="s">
        <v>200</v>
      </c>
    </row>
    <row r="39" customFormat="false" ht="15" hidden="false" customHeight="false" outlineLevel="0" collapsed="false">
      <c r="A39" s="8" t="s">
        <v>47</v>
      </c>
      <c r="B39" s="8" t="s">
        <v>69</v>
      </c>
      <c r="C39" s="8" t="s">
        <v>201</v>
      </c>
    </row>
    <row r="40" customFormat="false" ht="15" hidden="false" customHeight="false" outlineLevel="0" collapsed="false">
      <c r="A40" s="8" t="s">
        <v>47</v>
      </c>
      <c r="B40" s="8" t="s">
        <v>69</v>
      </c>
      <c r="C40" s="8" t="s">
        <v>202</v>
      </c>
    </row>
    <row r="41" customFormat="false" ht="15" hidden="false" customHeight="false" outlineLevel="0" collapsed="false">
      <c r="A41" s="8" t="s">
        <v>47</v>
      </c>
      <c r="B41" s="8" t="s">
        <v>69</v>
      </c>
      <c r="C41" s="8" t="s">
        <v>203</v>
      </c>
    </row>
    <row r="42" customFormat="false" ht="15" hidden="false" customHeight="false" outlineLevel="0" collapsed="false">
      <c r="A42" s="8" t="s">
        <v>47</v>
      </c>
      <c r="B42" s="8" t="s">
        <v>69</v>
      </c>
      <c r="C42" s="8" t="s">
        <v>204</v>
      </c>
    </row>
    <row r="43" customFormat="false" ht="15" hidden="false" customHeight="false" outlineLevel="0" collapsed="false">
      <c r="A43" s="8" t="s">
        <v>47</v>
      </c>
      <c r="B43" s="8" t="s">
        <v>69</v>
      </c>
      <c r="C43" s="8" t="s">
        <v>205</v>
      </c>
    </row>
    <row r="44" customFormat="false" ht="15" hidden="false" customHeight="false" outlineLevel="0" collapsed="false">
      <c r="A44" s="8" t="s">
        <v>47</v>
      </c>
      <c r="B44" s="8" t="s">
        <v>69</v>
      </c>
      <c r="C44" s="8" t="s">
        <v>206</v>
      </c>
    </row>
    <row r="45" customFormat="false" ht="15" hidden="false" customHeight="false" outlineLevel="0" collapsed="false">
      <c r="A45" s="8" t="s">
        <v>47</v>
      </c>
      <c r="B45" s="8" t="s">
        <v>69</v>
      </c>
      <c r="C45" s="8" t="s">
        <v>207</v>
      </c>
    </row>
    <row r="46" customFormat="false" ht="15" hidden="false" customHeight="false" outlineLevel="0" collapsed="false">
      <c r="A46" s="8" t="s">
        <v>47</v>
      </c>
      <c r="B46" s="8" t="s">
        <v>69</v>
      </c>
      <c r="C46" s="8" t="s">
        <v>208</v>
      </c>
    </row>
    <row r="47" customFormat="false" ht="15" hidden="false" customHeight="false" outlineLevel="0" collapsed="false">
      <c r="A47" s="8" t="s">
        <v>47</v>
      </c>
      <c r="B47" s="8" t="s">
        <v>74</v>
      </c>
      <c r="C47" s="8" t="s">
        <v>209</v>
      </c>
    </row>
    <row r="48" customFormat="false" ht="15" hidden="false" customHeight="false" outlineLevel="0" collapsed="false">
      <c r="A48" s="8" t="s">
        <v>47</v>
      </c>
      <c r="B48" s="8" t="s">
        <v>74</v>
      </c>
      <c r="C48" s="8" t="s">
        <v>210</v>
      </c>
    </row>
    <row r="49" customFormat="false" ht="15" hidden="false" customHeight="false" outlineLevel="0" collapsed="false">
      <c r="A49" s="8" t="s">
        <v>47</v>
      </c>
      <c r="B49" s="8" t="s">
        <v>74</v>
      </c>
      <c r="C49" s="8" t="s">
        <v>211</v>
      </c>
    </row>
    <row r="50" customFormat="false" ht="15" hidden="false" customHeight="false" outlineLevel="0" collapsed="false">
      <c r="A50" s="8" t="s">
        <v>47</v>
      </c>
      <c r="B50" s="8" t="s">
        <v>74</v>
      </c>
      <c r="C50" s="8" t="s">
        <v>212</v>
      </c>
    </row>
    <row r="51" customFormat="false" ht="15" hidden="false" customHeight="false" outlineLevel="0" collapsed="false">
      <c r="A51" s="8" t="s">
        <v>47</v>
      </c>
      <c r="B51" s="8" t="s">
        <v>74</v>
      </c>
      <c r="C51" s="8" t="s">
        <v>213</v>
      </c>
    </row>
    <row r="52" customFormat="false" ht="15" hidden="false" customHeight="false" outlineLevel="0" collapsed="false">
      <c r="A52" s="8" t="s">
        <v>47</v>
      </c>
      <c r="B52" s="8" t="s">
        <v>74</v>
      </c>
      <c r="C52" s="8" t="s">
        <v>214</v>
      </c>
    </row>
    <row r="53" customFormat="false" ht="15" hidden="false" customHeight="false" outlineLevel="0" collapsed="false">
      <c r="A53" s="8" t="s">
        <v>47</v>
      </c>
      <c r="B53" s="8" t="s">
        <v>74</v>
      </c>
      <c r="C53" s="8" t="s">
        <v>215</v>
      </c>
    </row>
    <row r="54" customFormat="false" ht="15" hidden="false" customHeight="false" outlineLevel="0" collapsed="false">
      <c r="A54" s="8" t="s">
        <v>47</v>
      </c>
      <c r="B54" s="8" t="s">
        <v>74</v>
      </c>
      <c r="C54" s="8" t="s">
        <v>216</v>
      </c>
    </row>
    <row r="55" customFormat="false" ht="15" hidden="false" customHeight="false" outlineLevel="0" collapsed="false">
      <c r="A55" s="8" t="s">
        <v>47</v>
      </c>
      <c r="B55" s="8" t="s">
        <v>74</v>
      </c>
      <c r="C55" s="8" t="s">
        <v>217</v>
      </c>
    </row>
    <row r="56" customFormat="false" ht="15" hidden="false" customHeight="false" outlineLevel="0" collapsed="false">
      <c r="A56" s="8" t="s">
        <v>47</v>
      </c>
      <c r="B56" s="8" t="s">
        <v>74</v>
      </c>
      <c r="C56" s="8" t="s">
        <v>218</v>
      </c>
    </row>
    <row r="57" customFormat="false" ht="15" hidden="false" customHeight="false" outlineLevel="0" collapsed="false">
      <c r="A57" s="8" t="s">
        <v>47</v>
      </c>
      <c r="B57" s="8" t="s">
        <v>79</v>
      </c>
      <c r="C57" s="8" t="s">
        <v>219</v>
      </c>
    </row>
    <row r="58" customFormat="false" ht="15" hidden="false" customHeight="false" outlineLevel="0" collapsed="false">
      <c r="A58" s="8" t="s">
        <v>47</v>
      </c>
      <c r="B58" s="8" t="s">
        <v>79</v>
      </c>
      <c r="C58" s="8" t="s">
        <v>220</v>
      </c>
    </row>
    <row r="59" customFormat="false" ht="15" hidden="false" customHeight="false" outlineLevel="0" collapsed="false">
      <c r="A59" s="8" t="s">
        <v>47</v>
      </c>
      <c r="B59" s="8" t="s">
        <v>79</v>
      </c>
      <c r="C59" s="8" t="s">
        <v>221</v>
      </c>
    </row>
    <row r="60" customFormat="false" ht="15" hidden="false" customHeight="false" outlineLevel="0" collapsed="false">
      <c r="A60" s="8" t="s">
        <v>47</v>
      </c>
      <c r="B60" s="8" t="s">
        <v>79</v>
      </c>
      <c r="C60" s="8" t="s">
        <v>222</v>
      </c>
    </row>
    <row r="61" customFormat="false" ht="15" hidden="false" customHeight="false" outlineLevel="0" collapsed="false">
      <c r="A61" s="8" t="s">
        <v>47</v>
      </c>
      <c r="B61" s="8" t="s">
        <v>79</v>
      </c>
      <c r="C61" s="8" t="s">
        <v>223</v>
      </c>
    </row>
    <row r="62" customFormat="false" ht="15" hidden="false" customHeight="false" outlineLevel="0" collapsed="false">
      <c r="A62" s="8" t="s">
        <v>47</v>
      </c>
      <c r="B62" s="8" t="s">
        <v>79</v>
      </c>
      <c r="C62" s="8" t="s">
        <v>224</v>
      </c>
    </row>
    <row r="63" customFormat="false" ht="15" hidden="false" customHeight="false" outlineLevel="0" collapsed="false">
      <c r="A63" s="8" t="s">
        <v>47</v>
      </c>
      <c r="B63" s="8" t="s">
        <v>79</v>
      </c>
      <c r="C63" s="8" t="s">
        <v>225</v>
      </c>
    </row>
    <row r="64" customFormat="false" ht="15" hidden="false" customHeight="false" outlineLevel="0" collapsed="false">
      <c r="A64" s="8" t="s">
        <v>47</v>
      </c>
      <c r="B64" s="8" t="s">
        <v>79</v>
      </c>
      <c r="C64" s="8" t="s">
        <v>226</v>
      </c>
    </row>
    <row r="65" customFormat="false" ht="15" hidden="false" customHeight="false" outlineLevel="0" collapsed="false">
      <c r="A65" s="8" t="s">
        <v>47</v>
      </c>
      <c r="B65" s="8" t="s">
        <v>79</v>
      </c>
      <c r="C65" s="8" t="s">
        <v>227</v>
      </c>
    </row>
    <row r="66" customFormat="false" ht="15" hidden="false" customHeight="false" outlineLevel="0" collapsed="false">
      <c r="A66" s="8" t="s">
        <v>47</v>
      </c>
      <c r="B66" s="8" t="s">
        <v>79</v>
      </c>
      <c r="C66" s="8" t="s">
        <v>228</v>
      </c>
    </row>
    <row r="67" customFormat="false" ht="15" hidden="false" customHeight="false" outlineLevel="0" collapsed="false">
      <c r="A67" s="8" t="s">
        <v>47</v>
      </c>
      <c r="B67" s="8" t="s">
        <v>84</v>
      </c>
      <c r="C67" s="8" t="s">
        <v>229</v>
      </c>
    </row>
    <row r="68" customFormat="false" ht="15" hidden="false" customHeight="false" outlineLevel="0" collapsed="false">
      <c r="A68" s="8" t="s">
        <v>47</v>
      </c>
      <c r="B68" s="8" t="s">
        <v>84</v>
      </c>
      <c r="C68" s="8" t="s">
        <v>230</v>
      </c>
    </row>
    <row r="69" customFormat="false" ht="15" hidden="false" customHeight="false" outlineLevel="0" collapsed="false">
      <c r="A69" s="8" t="s">
        <v>47</v>
      </c>
      <c r="B69" s="8" t="s">
        <v>84</v>
      </c>
      <c r="C69" s="8" t="s">
        <v>231</v>
      </c>
    </row>
    <row r="70" customFormat="false" ht="15" hidden="false" customHeight="false" outlineLevel="0" collapsed="false">
      <c r="A70" s="8" t="s">
        <v>47</v>
      </c>
      <c r="B70" s="8" t="s">
        <v>84</v>
      </c>
      <c r="C70" s="8" t="s">
        <v>232</v>
      </c>
    </row>
    <row r="71" customFormat="false" ht="15" hidden="false" customHeight="false" outlineLevel="0" collapsed="false">
      <c r="A71" s="8" t="s">
        <v>47</v>
      </c>
      <c r="B71" s="8" t="s">
        <v>84</v>
      </c>
      <c r="C71" s="8" t="s">
        <v>233</v>
      </c>
    </row>
    <row r="72" customFormat="false" ht="15" hidden="false" customHeight="false" outlineLevel="0" collapsed="false">
      <c r="A72" s="8" t="s">
        <v>47</v>
      </c>
      <c r="B72" s="8" t="s">
        <v>84</v>
      </c>
      <c r="C72" s="8" t="s">
        <v>234</v>
      </c>
    </row>
    <row r="73" customFormat="false" ht="15" hidden="false" customHeight="false" outlineLevel="0" collapsed="false">
      <c r="A73" s="8" t="s">
        <v>47</v>
      </c>
      <c r="B73" s="8" t="s">
        <v>84</v>
      </c>
      <c r="C73" s="8" t="s">
        <v>235</v>
      </c>
    </row>
    <row r="74" customFormat="false" ht="15" hidden="false" customHeight="false" outlineLevel="0" collapsed="false">
      <c r="A74" s="8" t="s">
        <v>47</v>
      </c>
      <c r="B74" s="8" t="s">
        <v>84</v>
      </c>
      <c r="C74" s="8" t="s">
        <v>236</v>
      </c>
    </row>
    <row r="75" customFormat="false" ht="15" hidden="false" customHeight="false" outlineLevel="0" collapsed="false">
      <c r="A75" s="8" t="s">
        <v>47</v>
      </c>
      <c r="B75" s="8" t="s">
        <v>84</v>
      </c>
      <c r="C75" s="8" t="s">
        <v>237</v>
      </c>
    </row>
    <row r="76" customFormat="false" ht="15" hidden="false" customHeight="false" outlineLevel="0" collapsed="false">
      <c r="A76" s="8" t="s">
        <v>47</v>
      </c>
      <c r="B76" s="8" t="s">
        <v>84</v>
      </c>
      <c r="C76" s="8" t="s">
        <v>238</v>
      </c>
    </row>
    <row r="77" customFormat="false" ht="15" hidden="false" customHeight="false" outlineLevel="0" collapsed="false">
      <c r="A77" s="8" t="s">
        <v>47</v>
      </c>
      <c r="B77" s="8" t="s">
        <v>84</v>
      </c>
      <c r="C77" s="8" t="s">
        <v>239</v>
      </c>
    </row>
    <row r="78" customFormat="false" ht="15" hidden="false" customHeight="false" outlineLevel="0" collapsed="false">
      <c r="A78" s="8" t="s">
        <v>47</v>
      </c>
      <c r="B78" s="8" t="s">
        <v>84</v>
      </c>
      <c r="C78" s="8" t="s">
        <v>240</v>
      </c>
    </row>
    <row r="79" customFormat="false" ht="15" hidden="false" customHeight="false" outlineLevel="0" collapsed="false">
      <c r="A79" s="8" t="s">
        <v>47</v>
      </c>
      <c r="B79" s="8" t="s">
        <v>84</v>
      </c>
      <c r="C79" s="8" t="s">
        <v>241</v>
      </c>
    </row>
    <row r="80" customFormat="false" ht="15" hidden="false" customHeight="false" outlineLevel="0" collapsed="false">
      <c r="A80" s="8" t="s">
        <v>47</v>
      </c>
      <c r="B80" s="8" t="s">
        <v>84</v>
      </c>
      <c r="C80" s="8" t="s">
        <v>242</v>
      </c>
    </row>
    <row r="81" customFormat="false" ht="15" hidden="false" customHeight="false" outlineLevel="0" collapsed="false">
      <c r="A81" s="8" t="s">
        <v>47</v>
      </c>
      <c r="B81" s="8" t="s">
        <v>84</v>
      </c>
      <c r="C81" s="8" t="s">
        <v>243</v>
      </c>
    </row>
    <row r="82" customFormat="false" ht="15" hidden="false" customHeight="false" outlineLevel="0" collapsed="false">
      <c r="A82" s="8" t="s">
        <v>47</v>
      </c>
      <c r="B82" s="8" t="s">
        <v>89</v>
      </c>
      <c r="C82" s="8" t="s">
        <v>244</v>
      </c>
    </row>
    <row r="83" customFormat="false" ht="15" hidden="false" customHeight="false" outlineLevel="0" collapsed="false">
      <c r="A83" s="8" t="s">
        <v>47</v>
      </c>
      <c r="B83" s="8" t="s">
        <v>89</v>
      </c>
      <c r="C83" s="8" t="s">
        <v>245</v>
      </c>
    </row>
    <row r="84" customFormat="false" ht="15" hidden="false" customHeight="false" outlineLevel="0" collapsed="false">
      <c r="A84" s="8" t="s">
        <v>47</v>
      </c>
      <c r="B84" s="8" t="s">
        <v>89</v>
      </c>
      <c r="C84" s="8" t="s">
        <v>246</v>
      </c>
    </row>
    <row r="85" customFormat="false" ht="15" hidden="false" customHeight="false" outlineLevel="0" collapsed="false">
      <c r="A85" s="8" t="s">
        <v>47</v>
      </c>
      <c r="B85" s="8" t="s">
        <v>89</v>
      </c>
      <c r="C85" s="8" t="s">
        <v>247</v>
      </c>
    </row>
    <row r="86" customFormat="false" ht="15" hidden="false" customHeight="false" outlineLevel="0" collapsed="false">
      <c r="A86" s="8" t="s">
        <v>47</v>
      </c>
      <c r="B86" s="8" t="s">
        <v>89</v>
      </c>
      <c r="C86" s="8" t="s">
        <v>248</v>
      </c>
    </row>
    <row r="87" customFormat="false" ht="15" hidden="false" customHeight="false" outlineLevel="0" collapsed="false">
      <c r="A87" s="8" t="s">
        <v>47</v>
      </c>
      <c r="B87" s="8" t="s">
        <v>89</v>
      </c>
      <c r="C87" s="8" t="s">
        <v>249</v>
      </c>
    </row>
    <row r="88" customFormat="false" ht="15" hidden="false" customHeight="false" outlineLevel="0" collapsed="false">
      <c r="A88" s="8" t="s">
        <v>47</v>
      </c>
      <c r="B88" s="8" t="s">
        <v>89</v>
      </c>
      <c r="C88" s="8" t="s">
        <v>250</v>
      </c>
    </row>
    <row r="89" customFormat="false" ht="15" hidden="false" customHeight="false" outlineLevel="0" collapsed="false">
      <c r="A89" s="8" t="s">
        <v>47</v>
      </c>
      <c r="B89" s="8" t="s">
        <v>89</v>
      </c>
      <c r="C89" s="8" t="s">
        <v>251</v>
      </c>
    </row>
    <row r="90" customFormat="false" ht="15" hidden="false" customHeight="false" outlineLevel="0" collapsed="false">
      <c r="A90" s="8" t="s">
        <v>47</v>
      </c>
      <c r="B90" s="8" t="s">
        <v>89</v>
      </c>
      <c r="C90" s="8" t="s">
        <v>252</v>
      </c>
    </row>
    <row r="91" customFormat="false" ht="15" hidden="false" customHeight="false" outlineLevel="0" collapsed="false">
      <c r="A91" s="8" t="s">
        <v>47</v>
      </c>
      <c r="B91" s="8" t="s">
        <v>89</v>
      </c>
      <c r="C91" s="8" t="s">
        <v>253</v>
      </c>
    </row>
    <row r="92" customFormat="false" ht="15" hidden="false" customHeight="false" outlineLevel="0" collapsed="false">
      <c r="A92" s="8" t="s">
        <v>47</v>
      </c>
      <c r="B92" s="8" t="s">
        <v>94</v>
      </c>
      <c r="C92" s="8" t="s">
        <v>254</v>
      </c>
    </row>
    <row r="93" customFormat="false" ht="15" hidden="false" customHeight="false" outlineLevel="0" collapsed="false">
      <c r="A93" s="8" t="s">
        <v>47</v>
      </c>
      <c r="B93" s="8" t="s">
        <v>94</v>
      </c>
      <c r="C93" s="8" t="s">
        <v>255</v>
      </c>
    </row>
    <row r="94" customFormat="false" ht="15" hidden="false" customHeight="false" outlineLevel="0" collapsed="false">
      <c r="A94" s="8" t="s">
        <v>47</v>
      </c>
      <c r="B94" s="8" t="s">
        <v>94</v>
      </c>
      <c r="C94" s="8" t="s">
        <v>256</v>
      </c>
    </row>
    <row r="95" customFormat="false" ht="15" hidden="false" customHeight="false" outlineLevel="0" collapsed="false">
      <c r="A95" s="8" t="s">
        <v>47</v>
      </c>
      <c r="B95" s="8" t="s">
        <v>94</v>
      </c>
      <c r="C95" s="8" t="s">
        <v>257</v>
      </c>
    </row>
    <row r="96" customFormat="false" ht="15" hidden="false" customHeight="false" outlineLevel="0" collapsed="false">
      <c r="A96" s="8" t="s">
        <v>47</v>
      </c>
      <c r="B96" s="8" t="s">
        <v>94</v>
      </c>
      <c r="C96" s="8" t="s">
        <v>258</v>
      </c>
    </row>
    <row r="97" customFormat="false" ht="15" hidden="false" customHeight="false" outlineLevel="0" collapsed="false">
      <c r="A97" s="8" t="s">
        <v>47</v>
      </c>
      <c r="B97" s="8" t="s">
        <v>94</v>
      </c>
      <c r="C97" s="8" t="s">
        <v>259</v>
      </c>
    </row>
    <row r="98" customFormat="false" ht="15" hidden="false" customHeight="false" outlineLevel="0" collapsed="false">
      <c r="A98" s="8" t="s">
        <v>47</v>
      </c>
      <c r="B98" s="8" t="s">
        <v>94</v>
      </c>
      <c r="C98" s="8" t="s">
        <v>260</v>
      </c>
    </row>
    <row r="99" customFormat="false" ht="15" hidden="false" customHeight="false" outlineLevel="0" collapsed="false">
      <c r="A99" s="8" t="s">
        <v>47</v>
      </c>
      <c r="B99" s="8" t="s">
        <v>94</v>
      </c>
      <c r="C99" s="8" t="s">
        <v>261</v>
      </c>
    </row>
    <row r="100" customFormat="false" ht="15" hidden="false" customHeight="false" outlineLevel="0" collapsed="false">
      <c r="A100" s="8" t="s">
        <v>47</v>
      </c>
      <c r="B100" s="8" t="s">
        <v>94</v>
      </c>
      <c r="C100" s="8" t="s">
        <v>262</v>
      </c>
    </row>
    <row r="101" customFormat="false" ht="15" hidden="false" customHeight="false" outlineLevel="0" collapsed="false">
      <c r="A101" s="8" t="s">
        <v>47</v>
      </c>
      <c r="B101" s="8" t="s">
        <v>94</v>
      </c>
      <c r="C101" s="8" t="s">
        <v>263</v>
      </c>
    </row>
    <row r="102" customFormat="false" ht="15" hidden="false" customHeight="false" outlineLevel="0" collapsed="false">
      <c r="A102" s="8" t="s">
        <v>47</v>
      </c>
      <c r="B102" s="8" t="s">
        <v>99</v>
      </c>
      <c r="C102" s="8" t="s">
        <v>264</v>
      </c>
    </row>
    <row r="103" customFormat="false" ht="15" hidden="false" customHeight="false" outlineLevel="0" collapsed="false">
      <c r="A103" s="8" t="s">
        <v>47</v>
      </c>
      <c r="B103" s="8" t="s">
        <v>99</v>
      </c>
      <c r="C103" s="8" t="s">
        <v>265</v>
      </c>
    </row>
    <row r="104" customFormat="false" ht="15" hidden="false" customHeight="false" outlineLevel="0" collapsed="false">
      <c r="A104" s="8" t="s">
        <v>47</v>
      </c>
      <c r="B104" s="8" t="s">
        <v>99</v>
      </c>
      <c r="C104" s="8" t="s">
        <v>266</v>
      </c>
    </row>
    <row r="105" customFormat="false" ht="15" hidden="false" customHeight="false" outlineLevel="0" collapsed="false">
      <c r="A105" s="8" t="s">
        <v>47</v>
      </c>
      <c r="B105" s="8" t="s">
        <v>99</v>
      </c>
      <c r="C105" s="8" t="s">
        <v>267</v>
      </c>
    </row>
    <row r="106" customFormat="false" ht="15" hidden="false" customHeight="false" outlineLevel="0" collapsed="false">
      <c r="A106" s="8" t="s">
        <v>47</v>
      </c>
      <c r="B106" s="8" t="s">
        <v>99</v>
      </c>
      <c r="C106" s="8" t="s">
        <v>268</v>
      </c>
    </row>
    <row r="107" customFormat="false" ht="15" hidden="false" customHeight="false" outlineLevel="0" collapsed="false">
      <c r="A107" s="8" t="s">
        <v>47</v>
      </c>
      <c r="B107" s="8" t="s">
        <v>99</v>
      </c>
      <c r="C107" s="8" t="s">
        <v>269</v>
      </c>
    </row>
    <row r="108" customFormat="false" ht="15" hidden="false" customHeight="false" outlineLevel="0" collapsed="false">
      <c r="A108" s="8" t="s">
        <v>47</v>
      </c>
      <c r="B108" s="8" t="s">
        <v>99</v>
      </c>
      <c r="C108" s="8" t="s">
        <v>270</v>
      </c>
    </row>
    <row r="109" customFormat="false" ht="15" hidden="false" customHeight="false" outlineLevel="0" collapsed="false">
      <c r="A109" s="8" t="s">
        <v>47</v>
      </c>
      <c r="B109" s="8" t="s">
        <v>99</v>
      </c>
      <c r="C109" s="8" t="s">
        <v>271</v>
      </c>
    </row>
    <row r="110" customFormat="false" ht="15" hidden="false" customHeight="false" outlineLevel="0" collapsed="false">
      <c r="A110" s="8" t="s">
        <v>47</v>
      </c>
      <c r="B110" s="8" t="s">
        <v>99</v>
      </c>
      <c r="C110" s="8" t="s">
        <v>272</v>
      </c>
    </row>
    <row r="111" customFormat="false" ht="15" hidden="false" customHeight="false" outlineLevel="0" collapsed="false">
      <c r="A111" s="8" t="s">
        <v>47</v>
      </c>
      <c r="B111" s="8" t="s">
        <v>99</v>
      </c>
      <c r="C111" s="8" t="s">
        <v>273</v>
      </c>
    </row>
    <row r="112" customFormat="false" ht="15" hidden="false" customHeight="false" outlineLevel="0" collapsed="false">
      <c r="A112" s="8" t="s">
        <v>47</v>
      </c>
      <c r="B112" s="8" t="s">
        <v>99</v>
      </c>
      <c r="C112" s="8" t="s">
        <v>274</v>
      </c>
    </row>
    <row r="113" customFormat="false" ht="15" hidden="false" customHeight="false" outlineLevel="0" collapsed="false">
      <c r="A113" s="8" t="s">
        <v>47</v>
      </c>
      <c r="B113" s="8" t="s">
        <v>104</v>
      </c>
      <c r="C113" s="8" t="s">
        <v>275</v>
      </c>
    </row>
    <row r="114" customFormat="false" ht="15" hidden="false" customHeight="false" outlineLevel="0" collapsed="false">
      <c r="A114" s="8" t="s">
        <v>47</v>
      </c>
      <c r="B114" s="8" t="s">
        <v>104</v>
      </c>
      <c r="C114" s="8" t="s">
        <v>276</v>
      </c>
    </row>
    <row r="115" customFormat="false" ht="15" hidden="false" customHeight="false" outlineLevel="0" collapsed="false">
      <c r="A115" s="8" t="s">
        <v>47</v>
      </c>
      <c r="B115" s="8" t="s">
        <v>104</v>
      </c>
      <c r="C115" s="8" t="s">
        <v>277</v>
      </c>
    </row>
    <row r="116" customFormat="false" ht="15" hidden="false" customHeight="false" outlineLevel="0" collapsed="false">
      <c r="A116" s="8" t="s">
        <v>47</v>
      </c>
      <c r="B116" s="8" t="s">
        <v>104</v>
      </c>
      <c r="C116" s="8" t="s">
        <v>278</v>
      </c>
    </row>
    <row r="117" customFormat="false" ht="15" hidden="false" customHeight="false" outlineLevel="0" collapsed="false">
      <c r="A117" s="8" t="s">
        <v>47</v>
      </c>
      <c r="B117" s="8" t="s">
        <v>104</v>
      </c>
      <c r="C117" s="8" t="s">
        <v>279</v>
      </c>
    </row>
    <row r="118" customFormat="false" ht="15" hidden="false" customHeight="false" outlineLevel="0" collapsed="false">
      <c r="A118" s="8" t="s">
        <v>47</v>
      </c>
      <c r="B118" s="8" t="s">
        <v>104</v>
      </c>
      <c r="C118" s="8" t="s">
        <v>280</v>
      </c>
    </row>
    <row r="119" customFormat="false" ht="15" hidden="false" customHeight="false" outlineLevel="0" collapsed="false">
      <c r="A119" s="8" t="s">
        <v>47</v>
      </c>
      <c r="B119" s="8" t="s">
        <v>104</v>
      </c>
      <c r="C119" s="8" t="s">
        <v>281</v>
      </c>
    </row>
    <row r="120" customFormat="false" ht="15" hidden="false" customHeight="false" outlineLevel="0" collapsed="false">
      <c r="A120" s="8" t="s">
        <v>47</v>
      </c>
      <c r="B120" s="8" t="s">
        <v>104</v>
      </c>
      <c r="C120" s="8" t="s">
        <v>282</v>
      </c>
    </row>
    <row r="121" customFormat="false" ht="15" hidden="false" customHeight="false" outlineLevel="0" collapsed="false">
      <c r="A121" s="8" t="s">
        <v>47</v>
      </c>
      <c r="B121" s="8" t="s">
        <v>104</v>
      </c>
      <c r="C121" s="8" t="s">
        <v>283</v>
      </c>
    </row>
    <row r="122" customFormat="false" ht="15" hidden="false" customHeight="false" outlineLevel="0" collapsed="false">
      <c r="A122" s="8" t="s">
        <v>47</v>
      </c>
      <c r="B122" s="8" t="s">
        <v>104</v>
      </c>
      <c r="C122" s="8" t="s">
        <v>284</v>
      </c>
    </row>
    <row r="123" customFormat="false" ht="15" hidden="false" customHeight="false" outlineLevel="0" collapsed="false">
      <c r="A123" s="8" t="s">
        <v>109</v>
      </c>
      <c r="B123" s="8" t="s">
        <v>110</v>
      </c>
      <c r="C123" s="8" t="s">
        <v>285</v>
      </c>
    </row>
    <row r="124" customFormat="false" ht="15" hidden="false" customHeight="false" outlineLevel="0" collapsed="false">
      <c r="A124" s="8" t="s">
        <v>109</v>
      </c>
      <c r="B124" s="8" t="s">
        <v>110</v>
      </c>
      <c r="C124" s="8" t="s">
        <v>286</v>
      </c>
    </row>
    <row r="125" customFormat="false" ht="15" hidden="false" customHeight="false" outlineLevel="0" collapsed="false">
      <c r="A125" s="8" t="s">
        <v>109</v>
      </c>
      <c r="B125" s="8" t="s">
        <v>110</v>
      </c>
      <c r="C125" s="8" t="s">
        <v>287</v>
      </c>
    </row>
    <row r="126" customFormat="false" ht="15" hidden="false" customHeight="false" outlineLevel="0" collapsed="false">
      <c r="A126" s="8" t="s">
        <v>109</v>
      </c>
      <c r="B126" s="8" t="s">
        <v>110</v>
      </c>
      <c r="C126" s="8" t="s">
        <v>288</v>
      </c>
    </row>
    <row r="127" customFormat="false" ht="15" hidden="false" customHeight="false" outlineLevel="0" collapsed="false">
      <c r="A127" s="8" t="s">
        <v>109</v>
      </c>
      <c r="B127" s="8" t="s">
        <v>110</v>
      </c>
      <c r="C127" s="8" t="s">
        <v>289</v>
      </c>
    </row>
    <row r="128" customFormat="false" ht="15" hidden="false" customHeight="false" outlineLevel="0" collapsed="false">
      <c r="A128" s="8" t="s">
        <v>109</v>
      </c>
      <c r="B128" s="8" t="s">
        <v>110</v>
      </c>
      <c r="C128" s="8" t="s">
        <v>290</v>
      </c>
    </row>
    <row r="129" customFormat="false" ht="15" hidden="false" customHeight="false" outlineLevel="0" collapsed="false">
      <c r="A129" s="8" t="s">
        <v>109</v>
      </c>
      <c r="B129" s="8" t="s">
        <v>110</v>
      </c>
      <c r="C129" s="8" t="s">
        <v>291</v>
      </c>
    </row>
    <row r="130" customFormat="false" ht="15" hidden="false" customHeight="false" outlineLevel="0" collapsed="false">
      <c r="A130" s="8" t="s">
        <v>109</v>
      </c>
      <c r="B130" s="8" t="s">
        <v>110</v>
      </c>
      <c r="C130" s="8" t="s">
        <v>292</v>
      </c>
    </row>
    <row r="131" customFormat="false" ht="15" hidden="false" customHeight="false" outlineLevel="0" collapsed="false">
      <c r="A131" s="8" t="s">
        <v>109</v>
      </c>
      <c r="B131" s="8" t="s">
        <v>110</v>
      </c>
      <c r="C131" s="8" t="s">
        <v>293</v>
      </c>
    </row>
    <row r="132" customFormat="false" ht="15" hidden="false" customHeight="false" outlineLevel="0" collapsed="false">
      <c r="A132" s="8" t="s">
        <v>109</v>
      </c>
      <c r="B132" s="8" t="s">
        <v>110</v>
      </c>
      <c r="C132" s="8" t="s">
        <v>294</v>
      </c>
    </row>
    <row r="133" customFormat="false" ht="15" hidden="false" customHeight="false" outlineLevel="0" collapsed="false">
      <c r="A133" s="8" t="s">
        <v>109</v>
      </c>
      <c r="B133" s="8" t="s">
        <v>115</v>
      </c>
      <c r="C133" s="8" t="s">
        <v>295</v>
      </c>
    </row>
    <row r="134" customFormat="false" ht="15" hidden="false" customHeight="false" outlineLevel="0" collapsed="false">
      <c r="A134" s="8" t="s">
        <v>109</v>
      </c>
      <c r="B134" s="8" t="s">
        <v>115</v>
      </c>
      <c r="C134" s="8" t="s">
        <v>296</v>
      </c>
    </row>
    <row r="135" customFormat="false" ht="15" hidden="false" customHeight="false" outlineLevel="0" collapsed="false">
      <c r="A135" s="8" t="s">
        <v>109</v>
      </c>
      <c r="B135" s="8" t="s">
        <v>115</v>
      </c>
      <c r="C135" s="8" t="s">
        <v>297</v>
      </c>
    </row>
    <row r="136" customFormat="false" ht="15" hidden="false" customHeight="false" outlineLevel="0" collapsed="false">
      <c r="A136" s="8" t="s">
        <v>109</v>
      </c>
      <c r="B136" s="8" t="s">
        <v>115</v>
      </c>
      <c r="C136" s="8" t="s">
        <v>298</v>
      </c>
    </row>
    <row r="137" customFormat="false" ht="15" hidden="false" customHeight="false" outlineLevel="0" collapsed="false">
      <c r="A137" s="8" t="s">
        <v>109</v>
      </c>
      <c r="B137" s="8" t="s">
        <v>115</v>
      </c>
      <c r="C137" s="8" t="s">
        <v>299</v>
      </c>
    </row>
    <row r="138" customFormat="false" ht="15" hidden="false" customHeight="false" outlineLevel="0" collapsed="false">
      <c r="A138" s="8" t="s">
        <v>109</v>
      </c>
      <c r="B138" s="8" t="s">
        <v>115</v>
      </c>
      <c r="C138" s="8" t="s">
        <v>300</v>
      </c>
    </row>
    <row r="139" customFormat="false" ht="15" hidden="false" customHeight="false" outlineLevel="0" collapsed="false">
      <c r="A139" s="8" t="s">
        <v>109</v>
      </c>
      <c r="B139" s="8" t="s">
        <v>115</v>
      </c>
      <c r="C139" s="8" t="s">
        <v>301</v>
      </c>
    </row>
    <row r="140" customFormat="false" ht="15" hidden="false" customHeight="false" outlineLevel="0" collapsed="false">
      <c r="A140" s="8" t="s">
        <v>109</v>
      </c>
      <c r="B140" s="8" t="s">
        <v>115</v>
      </c>
      <c r="C140" s="8" t="s">
        <v>302</v>
      </c>
    </row>
    <row r="141" customFormat="false" ht="15" hidden="false" customHeight="false" outlineLevel="0" collapsed="false">
      <c r="A141" s="8" t="s">
        <v>109</v>
      </c>
      <c r="B141" s="8" t="s">
        <v>115</v>
      </c>
      <c r="C141" s="8" t="s">
        <v>303</v>
      </c>
    </row>
    <row r="142" customFormat="false" ht="15" hidden="false" customHeight="false" outlineLevel="0" collapsed="false">
      <c r="A142" s="8" t="s">
        <v>109</v>
      </c>
      <c r="B142" s="8" t="s">
        <v>115</v>
      </c>
      <c r="C142" s="8" t="s">
        <v>304</v>
      </c>
    </row>
    <row r="143" customFormat="false" ht="15" hidden="false" customHeight="false" outlineLevel="0" collapsed="false">
      <c r="A143" s="8" t="s">
        <v>109</v>
      </c>
      <c r="B143" s="8" t="s">
        <v>120</v>
      </c>
      <c r="C143" s="8" t="s">
        <v>305</v>
      </c>
    </row>
    <row r="144" customFormat="false" ht="15" hidden="false" customHeight="false" outlineLevel="0" collapsed="false">
      <c r="A144" s="8" t="s">
        <v>109</v>
      </c>
      <c r="B144" s="8" t="s">
        <v>120</v>
      </c>
      <c r="C144" s="8" t="s">
        <v>306</v>
      </c>
    </row>
    <row r="145" customFormat="false" ht="15" hidden="false" customHeight="false" outlineLevel="0" collapsed="false">
      <c r="A145" s="8" t="s">
        <v>109</v>
      </c>
      <c r="B145" s="8" t="s">
        <v>120</v>
      </c>
      <c r="C145" s="8" t="s">
        <v>307</v>
      </c>
    </row>
    <row r="146" customFormat="false" ht="15" hidden="false" customHeight="false" outlineLevel="0" collapsed="false">
      <c r="A146" s="8" t="s">
        <v>109</v>
      </c>
      <c r="B146" s="8" t="s">
        <v>120</v>
      </c>
      <c r="C146" s="8" t="s">
        <v>308</v>
      </c>
    </row>
    <row r="147" customFormat="false" ht="15" hidden="false" customHeight="false" outlineLevel="0" collapsed="false">
      <c r="A147" s="8" t="s">
        <v>109</v>
      </c>
      <c r="B147" s="8" t="s">
        <v>120</v>
      </c>
      <c r="C147" s="8" t="s">
        <v>309</v>
      </c>
    </row>
    <row r="148" customFormat="false" ht="15" hidden="false" customHeight="false" outlineLevel="0" collapsed="false">
      <c r="A148" s="8" t="s">
        <v>109</v>
      </c>
      <c r="B148" s="8" t="s">
        <v>120</v>
      </c>
      <c r="C148" s="8" t="s">
        <v>310</v>
      </c>
    </row>
    <row r="149" customFormat="false" ht="15" hidden="false" customHeight="false" outlineLevel="0" collapsed="false">
      <c r="A149" s="8" t="s">
        <v>109</v>
      </c>
      <c r="B149" s="8" t="s">
        <v>120</v>
      </c>
      <c r="C149" s="8" t="s">
        <v>311</v>
      </c>
    </row>
    <row r="150" customFormat="false" ht="15" hidden="false" customHeight="false" outlineLevel="0" collapsed="false">
      <c r="A150" s="8" t="s">
        <v>109</v>
      </c>
      <c r="B150" s="8" t="s">
        <v>120</v>
      </c>
      <c r="C150" s="8" t="s">
        <v>312</v>
      </c>
    </row>
    <row r="151" customFormat="false" ht="15" hidden="false" customHeight="false" outlineLevel="0" collapsed="false">
      <c r="A151" s="8" t="s">
        <v>109</v>
      </c>
      <c r="B151" s="8" t="s">
        <v>120</v>
      </c>
      <c r="C151" s="8" t="s">
        <v>313</v>
      </c>
    </row>
    <row r="152" customFormat="false" ht="15" hidden="false" customHeight="false" outlineLevel="0" collapsed="false">
      <c r="A152" s="8" t="s">
        <v>109</v>
      </c>
      <c r="B152" s="8" t="s">
        <v>120</v>
      </c>
      <c r="C152" s="8" t="s">
        <v>314</v>
      </c>
    </row>
    <row r="153" customFormat="false" ht="15" hidden="false" customHeight="false" outlineLevel="0" collapsed="false">
      <c r="A153" s="8" t="s">
        <v>109</v>
      </c>
      <c r="B153" s="8" t="s">
        <v>125</v>
      </c>
      <c r="C153" s="8" t="s">
        <v>315</v>
      </c>
    </row>
    <row r="154" customFormat="false" ht="15" hidden="false" customHeight="false" outlineLevel="0" collapsed="false">
      <c r="A154" s="8" t="s">
        <v>109</v>
      </c>
      <c r="B154" s="8" t="s">
        <v>125</v>
      </c>
      <c r="C154" s="8" t="s">
        <v>316</v>
      </c>
    </row>
    <row r="155" customFormat="false" ht="15" hidden="false" customHeight="false" outlineLevel="0" collapsed="false">
      <c r="A155" s="8" t="s">
        <v>109</v>
      </c>
      <c r="B155" s="8" t="s">
        <v>125</v>
      </c>
      <c r="C155" s="8" t="s">
        <v>317</v>
      </c>
    </row>
    <row r="156" customFormat="false" ht="15" hidden="false" customHeight="false" outlineLevel="0" collapsed="false">
      <c r="A156" s="8" t="s">
        <v>109</v>
      </c>
      <c r="B156" s="8" t="s">
        <v>125</v>
      </c>
      <c r="C156" s="8" t="s">
        <v>318</v>
      </c>
    </row>
    <row r="157" customFormat="false" ht="15" hidden="false" customHeight="false" outlineLevel="0" collapsed="false">
      <c r="A157" s="8" t="s">
        <v>109</v>
      </c>
      <c r="B157" s="8" t="s">
        <v>125</v>
      </c>
      <c r="C157" s="8" t="s">
        <v>319</v>
      </c>
    </row>
    <row r="158" customFormat="false" ht="15" hidden="false" customHeight="false" outlineLevel="0" collapsed="false">
      <c r="A158" s="8" t="s">
        <v>109</v>
      </c>
      <c r="B158" s="8" t="s">
        <v>125</v>
      </c>
      <c r="C158" s="8" t="s">
        <v>320</v>
      </c>
    </row>
    <row r="159" customFormat="false" ht="15" hidden="false" customHeight="false" outlineLevel="0" collapsed="false">
      <c r="A159" s="8" t="s">
        <v>109</v>
      </c>
      <c r="B159" s="8" t="s">
        <v>125</v>
      </c>
      <c r="C159" s="8" t="s">
        <v>321</v>
      </c>
    </row>
    <row r="160" customFormat="false" ht="15" hidden="false" customHeight="false" outlineLevel="0" collapsed="false">
      <c r="A160" s="8" t="s">
        <v>109</v>
      </c>
      <c r="B160" s="8" t="s">
        <v>125</v>
      </c>
      <c r="C160" s="8" t="s">
        <v>322</v>
      </c>
    </row>
    <row r="161" customFormat="false" ht="15" hidden="false" customHeight="false" outlineLevel="0" collapsed="false">
      <c r="A161" s="8" t="s">
        <v>109</v>
      </c>
      <c r="B161" s="8" t="s">
        <v>125</v>
      </c>
      <c r="C161" s="8" t="s">
        <v>323</v>
      </c>
    </row>
    <row r="162" customFormat="false" ht="15" hidden="false" customHeight="false" outlineLevel="0" collapsed="false">
      <c r="A162" s="8" t="s">
        <v>109</v>
      </c>
      <c r="B162" s="8" t="s">
        <v>125</v>
      </c>
      <c r="C162" s="8" t="s">
        <v>324</v>
      </c>
    </row>
    <row r="163" customFormat="false" ht="15" hidden="false" customHeight="false" outlineLevel="0" collapsed="false">
      <c r="A163" s="8" t="s">
        <v>109</v>
      </c>
      <c r="B163" s="8" t="s">
        <v>130</v>
      </c>
      <c r="C163" s="8" t="s">
        <v>325</v>
      </c>
    </row>
    <row r="164" customFormat="false" ht="15" hidden="false" customHeight="false" outlineLevel="0" collapsed="false">
      <c r="A164" s="8" t="s">
        <v>109</v>
      </c>
      <c r="B164" s="8" t="s">
        <v>130</v>
      </c>
      <c r="C164" s="8" t="s">
        <v>326</v>
      </c>
    </row>
    <row r="165" customFormat="false" ht="15" hidden="false" customHeight="false" outlineLevel="0" collapsed="false">
      <c r="A165" s="8" t="s">
        <v>109</v>
      </c>
      <c r="B165" s="8" t="s">
        <v>130</v>
      </c>
      <c r="C165" s="8" t="s">
        <v>327</v>
      </c>
    </row>
    <row r="166" customFormat="false" ht="15" hidden="false" customHeight="false" outlineLevel="0" collapsed="false">
      <c r="A166" s="8" t="s">
        <v>109</v>
      </c>
      <c r="B166" s="8" t="s">
        <v>130</v>
      </c>
      <c r="C166" s="8" t="s">
        <v>328</v>
      </c>
    </row>
    <row r="167" customFormat="false" ht="15" hidden="false" customHeight="false" outlineLevel="0" collapsed="false">
      <c r="A167" s="8" t="s">
        <v>109</v>
      </c>
      <c r="B167" s="8" t="s">
        <v>130</v>
      </c>
      <c r="C167" s="8" t="s">
        <v>329</v>
      </c>
    </row>
    <row r="168" customFormat="false" ht="15" hidden="false" customHeight="false" outlineLevel="0" collapsed="false">
      <c r="A168" s="8" t="s">
        <v>109</v>
      </c>
      <c r="B168" s="8" t="s">
        <v>130</v>
      </c>
      <c r="C168" s="8" t="s">
        <v>330</v>
      </c>
    </row>
    <row r="169" customFormat="false" ht="15" hidden="false" customHeight="false" outlineLevel="0" collapsed="false">
      <c r="A169" s="8" t="s">
        <v>109</v>
      </c>
      <c r="B169" s="8" t="s">
        <v>130</v>
      </c>
      <c r="C169" s="8" t="s">
        <v>331</v>
      </c>
    </row>
    <row r="170" customFormat="false" ht="15" hidden="false" customHeight="false" outlineLevel="0" collapsed="false">
      <c r="A170" s="8" t="s">
        <v>109</v>
      </c>
      <c r="B170" s="8" t="s">
        <v>130</v>
      </c>
      <c r="C170" s="8" t="s">
        <v>332</v>
      </c>
    </row>
    <row r="171" customFormat="false" ht="15" hidden="false" customHeight="false" outlineLevel="0" collapsed="false">
      <c r="A171" s="8" t="s">
        <v>109</v>
      </c>
      <c r="B171" s="8" t="s">
        <v>130</v>
      </c>
      <c r="C171" s="8" t="s">
        <v>333</v>
      </c>
    </row>
    <row r="172" customFormat="false" ht="15" hidden="false" customHeight="false" outlineLevel="0" collapsed="false">
      <c r="A172" s="8" t="s">
        <v>109</v>
      </c>
      <c r="B172" s="8" t="s">
        <v>130</v>
      </c>
      <c r="C172" s="8" t="s">
        <v>334</v>
      </c>
    </row>
    <row r="173" customFormat="false" ht="15" hidden="false" customHeight="false" outlineLevel="0" collapsed="false">
      <c r="A173" s="8" t="s">
        <v>109</v>
      </c>
      <c r="B173" s="8" t="s">
        <v>135</v>
      </c>
      <c r="C173" s="8" t="s">
        <v>335</v>
      </c>
    </row>
    <row r="174" customFormat="false" ht="15" hidden="false" customHeight="false" outlineLevel="0" collapsed="false">
      <c r="A174" s="8" t="s">
        <v>109</v>
      </c>
      <c r="B174" s="8" t="s">
        <v>135</v>
      </c>
      <c r="C174" s="8" t="s">
        <v>336</v>
      </c>
    </row>
    <row r="175" customFormat="false" ht="15" hidden="false" customHeight="false" outlineLevel="0" collapsed="false">
      <c r="A175" s="8" t="s">
        <v>109</v>
      </c>
      <c r="B175" s="8" t="s">
        <v>135</v>
      </c>
      <c r="C175" s="8" t="s">
        <v>337</v>
      </c>
    </row>
    <row r="176" customFormat="false" ht="15" hidden="false" customHeight="false" outlineLevel="0" collapsed="false">
      <c r="A176" s="8" t="s">
        <v>109</v>
      </c>
      <c r="B176" s="8" t="s">
        <v>135</v>
      </c>
      <c r="C176" s="8" t="s">
        <v>338</v>
      </c>
    </row>
    <row r="177" customFormat="false" ht="15" hidden="false" customHeight="false" outlineLevel="0" collapsed="false">
      <c r="A177" s="8" t="s">
        <v>109</v>
      </c>
      <c r="B177" s="8" t="s">
        <v>135</v>
      </c>
      <c r="C177" s="8" t="s">
        <v>339</v>
      </c>
    </row>
    <row r="178" customFormat="false" ht="15" hidden="false" customHeight="false" outlineLevel="0" collapsed="false">
      <c r="A178" s="8" t="s">
        <v>109</v>
      </c>
      <c r="B178" s="8" t="s">
        <v>135</v>
      </c>
      <c r="C178" s="8" t="s">
        <v>340</v>
      </c>
    </row>
    <row r="179" customFormat="false" ht="15" hidden="false" customHeight="false" outlineLevel="0" collapsed="false">
      <c r="A179" s="8" t="s">
        <v>109</v>
      </c>
      <c r="B179" s="8" t="s">
        <v>135</v>
      </c>
      <c r="C179" s="8" t="s">
        <v>341</v>
      </c>
    </row>
    <row r="180" customFormat="false" ht="15" hidden="false" customHeight="false" outlineLevel="0" collapsed="false">
      <c r="A180" s="8" t="s">
        <v>109</v>
      </c>
      <c r="B180" s="8" t="s">
        <v>135</v>
      </c>
      <c r="C180" s="8" t="s">
        <v>342</v>
      </c>
    </row>
    <row r="181" customFormat="false" ht="15" hidden="false" customHeight="false" outlineLevel="0" collapsed="false">
      <c r="A181" s="8" t="s">
        <v>109</v>
      </c>
      <c r="B181" s="8" t="s">
        <v>135</v>
      </c>
      <c r="C181" s="8" t="s">
        <v>343</v>
      </c>
    </row>
    <row r="182" customFormat="false" ht="15" hidden="false" customHeight="false" outlineLevel="0" collapsed="false">
      <c r="A182" s="8" t="s">
        <v>109</v>
      </c>
      <c r="B182" s="8" t="s">
        <v>135</v>
      </c>
      <c r="C182" s="8" t="s">
        <v>344</v>
      </c>
    </row>
    <row r="183" customFormat="false" ht="15" hidden="false" customHeight="false" outlineLevel="0" collapsed="false">
      <c r="A183" s="8" t="s">
        <v>109</v>
      </c>
      <c r="B183" s="8" t="s">
        <v>140</v>
      </c>
      <c r="C183" s="8" t="s">
        <v>345</v>
      </c>
    </row>
    <row r="184" customFormat="false" ht="15" hidden="false" customHeight="false" outlineLevel="0" collapsed="false">
      <c r="A184" s="8" t="s">
        <v>109</v>
      </c>
      <c r="B184" s="8" t="s">
        <v>140</v>
      </c>
      <c r="C184" s="8" t="s">
        <v>346</v>
      </c>
    </row>
    <row r="185" customFormat="false" ht="15" hidden="false" customHeight="false" outlineLevel="0" collapsed="false">
      <c r="A185" s="8" t="s">
        <v>109</v>
      </c>
      <c r="B185" s="8" t="s">
        <v>140</v>
      </c>
      <c r="C185" s="8" t="s">
        <v>347</v>
      </c>
    </row>
    <row r="186" customFormat="false" ht="15" hidden="false" customHeight="false" outlineLevel="0" collapsed="false">
      <c r="A186" s="8" t="s">
        <v>109</v>
      </c>
      <c r="B186" s="8" t="s">
        <v>140</v>
      </c>
      <c r="C186" s="8" t="s">
        <v>348</v>
      </c>
    </row>
    <row r="187" customFormat="false" ht="15" hidden="false" customHeight="false" outlineLevel="0" collapsed="false">
      <c r="A187" s="8" t="s">
        <v>109</v>
      </c>
      <c r="B187" s="8" t="s">
        <v>140</v>
      </c>
      <c r="C187" s="8" t="s">
        <v>349</v>
      </c>
    </row>
    <row r="188" customFormat="false" ht="15" hidden="false" customHeight="false" outlineLevel="0" collapsed="false">
      <c r="A188" s="8" t="s">
        <v>109</v>
      </c>
      <c r="B188" s="8" t="s">
        <v>140</v>
      </c>
      <c r="C188" s="8" t="s">
        <v>350</v>
      </c>
    </row>
    <row r="189" customFormat="false" ht="15" hidden="false" customHeight="false" outlineLevel="0" collapsed="false">
      <c r="A189" s="8" t="s">
        <v>109</v>
      </c>
      <c r="B189" s="8" t="s">
        <v>140</v>
      </c>
      <c r="C189" s="8" t="s">
        <v>351</v>
      </c>
    </row>
    <row r="190" customFormat="false" ht="15" hidden="false" customHeight="false" outlineLevel="0" collapsed="false">
      <c r="A190" s="8" t="s">
        <v>109</v>
      </c>
      <c r="B190" s="8" t="s">
        <v>140</v>
      </c>
      <c r="C190" s="8" t="s">
        <v>352</v>
      </c>
    </row>
    <row r="191" customFormat="false" ht="15" hidden="false" customHeight="false" outlineLevel="0" collapsed="false">
      <c r="A191" s="8" t="s">
        <v>109</v>
      </c>
      <c r="B191" s="8" t="s">
        <v>140</v>
      </c>
      <c r="C191" s="8" t="s">
        <v>353</v>
      </c>
    </row>
    <row r="192" customFormat="false" ht="15" hidden="false" customHeight="false" outlineLevel="0" collapsed="false">
      <c r="A192" s="8" t="s">
        <v>109</v>
      </c>
      <c r="B192" s="8" t="s">
        <v>140</v>
      </c>
      <c r="C192" s="8" t="s">
        <v>354</v>
      </c>
    </row>
    <row r="193" customFormat="false" ht="15" hidden="false" customHeight="false" outlineLevel="0" collapsed="false">
      <c r="A193" s="8" t="s">
        <v>109</v>
      </c>
      <c r="B193" s="8" t="s">
        <v>145</v>
      </c>
      <c r="C193" s="8" t="s">
        <v>355</v>
      </c>
    </row>
    <row r="194" customFormat="false" ht="15" hidden="false" customHeight="false" outlineLevel="0" collapsed="false">
      <c r="A194" s="8" t="s">
        <v>109</v>
      </c>
      <c r="B194" s="8" t="s">
        <v>145</v>
      </c>
      <c r="C194" s="8" t="s">
        <v>356</v>
      </c>
    </row>
    <row r="195" customFormat="false" ht="15" hidden="false" customHeight="false" outlineLevel="0" collapsed="false">
      <c r="A195" s="8" t="s">
        <v>109</v>
      </c>
      <c r="B195" s="8" t="s">
        <v>145</v>
      </c>
      <c r="C195" s="8" t="s">
        <v>357</v>
      </c>
    </row>
    <row r="196" customFormat="false" ht="15" hidden="false" customHeight="false" outlineLevel="0" collapsed="false">
      <c r="A196" s="8" t="s">
        <v>109</v>
      </c>
      <c r="B196" s="8" t="s">
        <v>145</v>
      </c>
      <c r="C196" s="8" t="s">
        <v>358</v>
      </c>
    </row>
    <row r="197" customFormat="false" ht="15" hidden="false" customHeight="false" outlineLevel="0" collapsed="false">
      <c r="A197" s="8" t="s">
        <v>109</v>
      </c>
      <c r="B197" s="8" t="s">
        <v>145</v>
      </c>
      <c r="C197" s="8" t="s">
        <v>359</v>
      </c>
    </row>
    <row r="198" customFormat="false" ht="15" hidden="false" customHeight="false" outlineLevel="0" collapsed="false">
      <c r="A198" s="8" t="s">
        <v>109</v>
      </c>
      <c r="B198" s="8" t="s">
        <v>145</v>
      </c>
      <c r="C198" s="8" t="s">
        <v>360</v>
      </c>
    </row>
    <row r="199" customFormat="false" ht="15" hidden="false" customHeight="false" outlineLevel="0" collapsed="false">
      <c r="A199" s="8" t="s">
        <v>109</v>
      </c>
      <c r="B199" s="8" t="s">
        <v>145</v>
      </c>
      <c r="C199" s="8" t="s">
        <v>361</v>
      </c>
    </row>
    <row r="200" customFormat="false" ht="15" hidden="false" customHeight="false" outlineLevel="0" collapsed="false">
      <c r="A200" s="8" t="s">
        <v>109</v>
      </c>
      <c r="B200" s="8" t="s">
        <v>145</v>
      </c>
      <c r="C200" s="8" t="s">
        <v>362</v>
      </c>
    </row>
    <row r="201" customFormat="false" ht="15" hidden="false" customHeight="false" outlineLevel="0" collapsed="false">
      <c r="A201" s="8" t="s">
        <v>109</v>
      </c>
      <c r="B201" s="8" t="s">
        <v>145</v>
      </c>
      <c r="C201" s="8" t="s">
        <v>363</v>
      </c>
    </row>
    <row r="202" customFormat="false" ht="15" hidden="false" customHeight="false" outlineLevel="0" collapsed="false">
      <c r="A202" s="8" t="s">
        <v>109</v>
      </c>
      <c r="B202" s="8" t="s">
        <v>145</v>
      </c>
      <c r="C202" s="8" t="s">
        <v>364</v>
      </c>
    </row>
    <row r="203" customFormat="false" ht="15" hidden="false" customHeight="false" outlineLevel="0" collapsed="false">
      <c r="A203" s="8" t="s">
        <v>150</v>
      </c>
      <c r="B203" s="8" t="s">
        <v>151</v>
      </c>
      <c r="C203" s="8" t="s">
        <v>365</v>
      </c>
    </row>
    <row r="204" customFormat="false" ht="15" hidden="false" customHeight="false" outlineLevel="0" collapsed="false">
      <c r="A204" s="8" t="s">
        <v>150</v>
      </c>
      <c r="B204" s="8" t="s">
        <v>151</v>
      </c>
      <c r="C204" s="8" t="s">
        <v>366</v>
      </c>
    </row>
    <row r="205" customFormat="false" ht="15" hidden="false" customHeight="false" outlineLevel="0" collapsed="false">
      <c r="A205" s="8" t="s">
        <v>150</v>
      </c>
      <c r="B205" s="8" t="s">
        <v>151</v>
      </c>
      <c r="C205" s="8" t="s">
        <v>367</v>
      </c>
    </row>
    <row r="206" customFormat="false" ht="15" hidden="false" customHeight="false" outlineLevel="0" collapsed="false">
      <c r="A206" s="8" t="s">
        <v>150</v>
      </c>
      <c r="B206" s="8" t="s">
        <v>151</v>
      </c>
      <c r="C206" s="8" t="s">
        <v>368</v>
      </c>
    </row>
    <row r="207" customFormat="false" ht="15" hidden="false" customHeight="false" outlineLevel="0" collapsed="false">
      <c r="A207" s="8" t="s">
        <v>150</v>
      </c>
      <c r="B207" s="8" t="s">
        <v>151</v>
      </c>
      <c r="C207" s="8" t="s">
        <v>369</v>
      </c>
    </row>
    <row r="208" customFormat="false" ht="15" hidden="false" customHeight="false" outlineLevel="0" collapsed="false">
      <c r="A208" s="8" t="s">
        <v>150</v>
      </c>
      <c r="B208" s="8" t="s">
        <v>151</v>
      </c>
      <c r="C208" s="8" t="s">
        <v>370</v>
      </c>
    </row>
    <row r="209" customFormat="false" ht="15" hidden="false" customHeight="false" outlineLevel="0" collapsed="false">
      <c r="A209" s="8" t="s">
        <v>150</v>
      </c>
      <c r="B209" s="8" t="s">
        <v>151</v>
      </c>
      <c r="C209" s="8" t="s">
        <v>371</v>
      </c>
    </row>
    <row r="210" customFormat="false" ht="15" hidden="false" customHeight="false" outlineLevel="0" collapsed="false">
      <c r="A210" s="8" t="s">
        <v>150</v>
      </c>
      <c r="B210" s="8" t="s">
        <v>151</v>
      </c>
      <c r="C210" s="8" t="s">
        <v>372</v>
      </c>
    </row>
    <row r="211" customFormat="false" ht="15" hidden="false" customHeight="false" outlineLevel="0" collapsed="false">
      <c r="A211" s="8" t="s">
        <v>150</v>
      </c>
      <c r="B211" s="8" t="s">
        <v>155</v>
      </c>
      <c r="C211" s="8" t="s">
        <v>373</v>
      </c>
    </row>
    <row r="212" customFormat="false" ht="15" hidden="false" customHeight="false" outlineLevel="0" collapsed="false">
      <c r="A212" s="8" t="s">
        <v>150</v>
      </c>
      <c r="B212" s="8" t="s">
        <v>155</v>
      </c>
      <c r="C212" s="8" t="s">
        <v>374</v>
      </c>
    </row>
    <row r="213" customFormat="false" ht="15" hidden="false" customHeight="false" outlineLevel="0" collapsed="false">
      <c r="A213" s="8" t="s">
        <v>150</v>
      </c>
      <c r="B213" s="8" t="s">
        <v>155</v>
      </c>
      <c r="C213" s="8" t="s">
        <v>375</v>
      </c>
    </row>
    <row r="214" customFormat="false" ht="15" hidden="false" customHeight="false" outlineLevel="0" collapsed="false">
      <c r="A214" s="8" t="s">
        <v>150</v>
      </c>
      <c r="B214" s="8" t="s">
        <v>155</v>
      </c>
      <c r="C214" s="8" t="s">
        <v>376</v>
      </c>
    </row>
    <row r="215" customFormat="false" ht="15" hidden="false" customHeight="false" outlineLevel="0" collapsed="false">
      <c r="A215" s="8" t="s">
        <v>150</v>
      </c>
      <c r="B215" s="8" t="s">
        <v>155</v>
      </c>
      <c r="C215" s="8" t="s">
        <v>377</v>
      </c>
    </row>
    <row r="216" customFormat="false" ht="15" hidden="false" customHeight="false" outlineLevel="0" collapsed="false">
      <c r="A216" s="8" t="s">
        <v>150</v>
      </c>
      <c r="B216" s="8" t="s">
        <v>155</v>
      </c>
      <c r="C216" s="8" t="s">
        <v>378</v>
      </c>
    </row>
    <row r="217" customFormat="false" ht="15" hidden="false" customHeight="false" outlineLevel="0" collapsed="false">
      <c r="A217" s="8" t="s">
        <v>150</v>
      </c>
      <c r="B217" s="8" t="s">
        <v>155</v>
      </c>
      <c r="C217" s="8" t="s">
        <v>379</v>
      </c>
    </row>
    <row r="218" customFormat="false" ht="15" hidden="false" customHeight="false" outlineLevel="0" collapsed="false">
      <c r="A218" s="8" t="s">
        <v>150</v>
      </c>
      <c r="B218" s="8" t="s">
        <v>159</v>
      </c>
      <c r="C218" s="8" t="s">
        <v>380</v>
      </c>
    </row>
    <row r="219" customFormat="false" ht="15" hidden="false" customHeight="false" outlineLevel="0" collapsed="false">
      <c r="A219" s="8" t="s">
        <v>150</v>
      </c>
      <c r="B219" s="8" t="s">
        <v>159</v>
      </c>
      <c r="C219" s="8" t="s">
        <v>381</v>
      </c>
    </row>
    <row r="220" customFormat="false" ht="15" hidden="false" customHeight="false" outlineLevel="0" collapsed="false">
      <c r="A220" s="8" t="s">
        <v>150</v>
      </c>
      <c r="B220" s="8" t="s">
        <v>159</v>
      </c>
      <c r="C220" s="8" t="s">
        <v>382</v>
      </c>
    </row>
    <row r="221" customFormat="false" ht="15" hidden="false" customHeight="false" outlineLevel="0" collapsed="false">
      <c r="A221" s="8" t="s">
        <v>150</v>
      </c>
      <c r="B221" s="8" t="s">
        <v>159</v>
      </c>
      <c r="C221" s="8" t="s">
        <v>383</v>
      </c>
    </row>
    <row r="222" customFormat="false" ht="15" hidden="false" customHeight="false" outlineLevel="0" collapsed="false">
      <c r="A222" s="8" t="s">
        <v>150</v>
      </c>
      <c r="B222" s="8" t="s">
        <v>159</v>
      </c>
      <c r="C222" s="8" t="s">
        <v>384</v>
      </c>
    </row>
    <row r="223" customFormat="false" ht="15" hidden="false" customHeight="false" outlineLevel="0" collapsed="false">
      <c r="A223" s="8" t="s">
        <v>150</v>
      </c>
      <c r="B223" s="8" t="s">
        <v>159</v>
      </c>
      <c r="C223" s="8" t="s">
        <v>385</v>
      </c>
    </row>
    <row r="224" customFormat="false" ht="15" hidden="false" customHeight="false" outlineLevel="0" collapsed="false">
      <c r="A224" s="8" t="s">
        <v>150</v>
      </c>
      <c r="B224" s="8" t="s">
        <v>159</v>
      </c>
      <c r="C224" s="8" t="s">
        <v>386</v>
      </c>
    </row>
    <row r="226" customFormat="false" ht="15" hidden="false" customHeight="false" outlineLevel="0" collapsed="false">
      <c r="A226" s="9" t="s">
        <v>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5" t="s">
        <v>388</v>
      </c>
      <c r="B1" s="5" t="s">
        <v>389</v>
      </c>
    </row>
    <row r="2" customFormat="false" ht="15" hidden="false" customHeight="false" outlineLevel="0" collapsed="false">
      <c r="A2" s="8" t="s">
        <v>390</v>
      </c>
      <c r="B2" s="8" t="s">
        <v>391</v>
      </c>
    </row>
    <row r="3" customFormat="false" ht="15" hidden="false" customHeight="false" outlineLevel="0" collapsed="false">
      <c r="A3" s="8" t="s">
        <v>392</v>
      </c>
      <c r="B3" s="8"/>
    </row>
    <row r="4" customFormat="false" ht="15" hidden="false" customHeight="false" outlineLevel="0" collapsed="false">
      <c r="A4" s="8" t="s">
        <v>393</v>
      </c>
      <c r="B4" s="8"/>
    </row>
    <row r="5" customFormat="false" ht="15" hidden="false" customHeight="false" outlineLevel="0" collapsed="false">
      <c r="A5" s="8" t="s">
        <v>394</v>
      </c>
      <c r="B5" s="8"/>
    </row>
    <row r="6" customFormat="false" ht="15" hidden="false" customHeight="false" outlineLevel="0" collapsed="false">
      <c r="A6" s="8" t="s">
        <v>395</v>
      </c>
      <c r="B6" s="8"/>
    </row>
    <row r="7" customFormat="false" ht="15" hidden="false" customHeight="false" outlineLevel="0" collapsed="false">
      <c r="A7" s="8" t="s">
        <v>396</v>
      </c>
      <c r="B7" s="8"/>
    </row>
    <row r="8" customFormat="false" ht="15" hidden="false" customHeight="false" outlineLevel="0" collapsed="false">
      <c r="A8" s="8" t="s">
        <v>397</v>
      </c>
      <c r="B8" s="8"/>
    </row>
    <row r="9" customFormat="false" ht="15" hidden="false" customHeight="false" outlineLevel="0" collapsed="false">
      <c r="A9" s="8" t="s">
        <v>398</v>
      </c>
      <c r="B9" s="8"/>
    </row>
    <row r="10" customFormat="false" ht="15" hidden="false" customHeight="false" outlineLevel="0" collapsed="false">
      <c r="A10" s="8" t="s">
        <v>399</v>
      </c>
      <c r="B10" s="8" t="s">
        <v>400</v>
      </c>
    </row>
    <row r="11" customFormat="false" ht="15" hidden="false" customHeight="false" outlineLevel="0" collapsed="false">
      <c r="A11" s="8" t="s">
        <v>401</v>
      </c>
      <c r="B11" s="8"/>
    </row>
    <row r="12" customFormat="false" ht="15" hidden="false" customHeight="false" outlineLevel="0" collapsed="false">
      <c r="A12" s="8" t="s">
        <v>402</v>
      </c>
      <c r="B12" s="8"/>
    </row>
    <row r="13" customFormat="false" ht="15" hidden="false" customHeight="false" outlineLevel="0" collapsed="false">
      <c r="A13" s="8" t="s">
        <v>403</v>
      </c>
      <c r="B13" s="8" t="s">
        <v>404</v>
      </c>
    </row>
    <row r="14" customFormat="false" ht="15" hidden="false" customHeight="false" outlineLevel="0" collapsed="false">
      <c r="A14" s="8" t="s">
        <v>405</v>
      </c>
      <c r="B14" s="8" t="s">
        <v>406</v>
      </c>
    </row>
    <row r="15" customFormat="false" ht="15" hidden="false" customHeight="false" outlineLevel="0" collapsed="false">
      <c r="A15" s="8" t="s">
        <v>407</v>
      </c>
      <c r="B15" s="8"/>
    </row>
    <row r="16" customFormat="false" ht="15" hidden="false" customHeight="false" outlineLevel="0" collapsed="false">
      <c r="A16" s="8" t="s">
        <v>408</v>
      </c>
      <c r="B16" s="8"/>
    </row>
    <row r="17" customFormat="false" ht="15" hidden="false" customHeight="false" outlineLevel="0" collapsed="false">
      <c r="A17" s="8" t="s">
        <v>409</v>
      </c>
      <c r="B17" s="8" t="s">
        <v>410</v>
      </c>
    </row>
    <row r="18" customFormat="false" ht="15" hidden="false" customHeight="false" outlineLevel="0" collapsed="false">
      <c r="A18" s="8" t="s">
        <v>411</v>
      </c>
      <c r="B18" s="8"/>
    </row>
    <row r="19" customFormat="false" ht="15" hidden="false" customHeight="false" outlineLevel="0" collapsed="false">
      <c r="A19" s="8" t="s">
        <v>412</v>
      </c>
      <c r="B19" s="8"/>
    </row>
    <row r="20" customFormat="false" ht="15" hidden="false" customHeight="false" outlineLevel="0" collapsed="false">
      <c r="A20" s="8" t="s">
        <v>413</v>
      </c>
      <c r="B20" s="8"/>
    </row>
    <row r="21" customFormat="false" ht="15" hidden="false" customHeight="false" outlineLevel="0" collapsed="false">
      <c r="A21" s="8" t="s">
        <v>414</v>
      </c>
      <c r="B21" s="8"/>
    </row>
    <row r="22" customFormat="false" ht="15" hidden="false" customHeight="false" outlineLevel="0" collapsed="false">
      <c r="A22" s="8" t="s">
        <v>415</v>
      </c>
      <c r="B22" s="8"/>
    </row>
    <row r="23" customFormat="false" ht="15" hidden="false" customHeight="false" outlineLevel="0" collapsed="false">
      <c r="A23" s="8" t="s">
        <v>416</v>
      </c>
      <c r="B23" s="8"/>
    </row>
    <row r="24" customFormat="false" ht="15" hidden="false" customHeight="false" outlineLevel="0" collapsed="false">
      <c r="A24" s="8" t="s">
        <v>417</v>
      </c>
      <c r="B24" s="8" t="s">
        <v>418</v>
      </c>
    </row>
    <row r="25" customFormat="false" ht="15" hidden="false" customHeight="false" outlineLevel="0" collapsed="false">
      <c r="A25" s="8" t="s">
        <v>419</v>
      </c>
      <c r="B25" s="8"/>
    </row>
    <row r="26" customFormat="false" ht="15" hidden="false" customHeight="false" outlineLevel="0" collapsed="false">
      <c r="A26" s="8" t="s">
        <v>420</v>
      </c>
      <c r="B26" s="8"/>
    </row>
    <row r="27" customFormat="false" ht="15" hidden="false" customHeight="false" outlineLevel="0" collapsed="false">
      <c r="A27" s="8" t="s">
        <v>421</v>
      </c>
      <c r="B27" s="8"/>
    </row>
    <row r="28" customFormat="false" ht="15" hidden="false" customHeight="false" outlineLevel="0" collapsed="false">
      <c r="A28" s="8" t="s">
        <v>422</v>
      </c>
      <c r="B28" s="8"/>
    </row>
    <row r="29" customFormat="false" ht="15" hidden="false" customHeight="false" outlineLevel="0" collapsed="false">
      <c r="A29" s="8" t="s">
        <v>423</v>
      </c>
      <c r="B29" s="8" t="s">
        <v>424</v>
      </c>
    </row>
    <row r="30" customFormat="false" ht="15" hidden="false" customHeight="false" outlineLevel="0" collapsed="false">
      <c r="A30" s="8" t="s">
        <v>425</v>
      </c>
      <c r="B30" s="8" t="s">
        <v>426</v>
      </c>
    </row>
    <row r="31" customFormat="false" ht="15" hidden="false" customHeight="false" outlineLevel="0" collapsed="false">
      <c r="A31" s="8" t="s">
        <v>427</v>
      </c>
      <c r="B31" s="8"/>
    </row>
    <row r="32" customFormat="false" ht="15" hidden="false" customHeight="false" outlineLevel="0" collapsed="false">
      <c r="A32" s="8" t="s">
        <v>428</v>
      </c>
      <c r="B32" s="8"/>
    </row>
    <row r="33" customFormat="false" ht="15" hidden="false" customHeight="false" outlineLevel="0" collapsed="false">
      <c r="A33" s="8" t="s">
        <v>429</v>
      </c>
      <c r="B33" s="8"/>
    </row>
    <row r="34" customFormat="false" ht="15" hidden="false" customHeight="false" outlineLevel="0" collapsed="false">
      <c r="A34" s="8" t="s">
        <v>430</v>
      </c>
      <c r="B34" s="8"/>
    </row>
    <row r="35" customFormat="false" ht="15" hidden="false" customHeight="false" outlineLevel="0" collapsed="false">
      <c r="A35" s="8" t="s">
        <v>431</v>
      </c>
      <c r="B35" s="8" t="s">
        <v>432</v>
      </c>
    </row>
    <row r="36" customFormat="false" ht="15" hidden="false" customHeight="false" outlineLevel="0" collapsed="false">
      <c r="A36" s="8" t="s">
        <v>433</v>
      </c>
      <c r="B36" s="8"/>
    </row>
    <row r="37" customFormat="false" ht="15" hidden="false" customHeight="false" outlineLevel="0" collapsed="false">
      <c r="A37" s="8" t="s">
        <v>434</v>
      </c>
      <c r="B3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8"/>
    <col collapsed="false" customWidth="true" hidden="false" outlineLevel="0" max="3" min="3" style="0" width="7"/>
    <col collapsed="false" customWidth="true" hidden="false" outlineLevel="0" max="4" min="4" style="0" width="58"/>
    <col collapsed="false" customWidth="true" hidden="false" outlineLevel="0" max="5" min="5" style="0" width="7"/>
    <col collapsed="false" customWidth="true" hidden="false" outlineLevel="0" max="6" min="6" style="0" width="18"/>
    <col collapsed="false" customWidth="true" hidden="false" outlineLevel="0" max="7" min="7" style="0" width="60"/>
  </cols>
  <sheetData>
    <row r="1" customFormat="false" ht="26.85" hidden="false" customHeight="false" outlineLevel="0" collapsed="false">
      <c r="A1" s="5" t="s">
        <v>435</v>
      </c>
      <c r="B1" s="5" t="s">
        <v>436</v>
      </c>
      <c r="C1" s="5" t="s">
        <v>41</v>
      </c>
      <c r="D1" s="5" t="s">
        <v>437</v>
      </c>
      <c r="E1" s="5" t="s">
        <v>41</v>
      </c>
      <c r="F1" s="5" t="s">
        <v>438</v>
      </c>
      <c r="G1" s="5" t="s">
        <v>46</v>
      </c>
    </row>
    <row r="2" customFormat="false" ht="15" hidden="false" customHeight="false" outlineLevel="0" collapsed="false">
      <c r="A2" s="8" t="s">
        <v>439</v>
      </c>
      <c r="B2" s="8" t="s">
        <v>440</v>
      </c>
      <c r="C2" s="10" t="n">
        <f aca="false">LEN(B2)</f>
        <v>17</v>
      </c>
      <c r="D2" s="8" t="s">
        <v>441</v>
      </c>
      <c r="E2" s="10" t="n">
        <f aca="false">LEN(D2)</f>
        <v>47</v>
      </c>
      <c r="F2" s="8" t="s">
        <v>442</v>
      </c>
      <c r="G2" s="8" t="str">
        <f aca="false">Настройки!$B$2&amp;"?"&amp;Настройки!$B$3&amp;F2</f>
        <v>https://renal-auto.asia:8443/port?utm_source=yandex&amp;utm_medium=cpc&amp;utm_campaign={campaign_id}&amp;utm_content={ad_id}&amp;utm_term={keyword}#terminal</v>
      </c>
    </row>
    <row r="3" customFormat="false" ht="15" hidden="false" customHeight="false" outlineLevel="0" collapsed="false">
      <c r="A3" s="8" t="s">
        <v>439</v>
      </c>
      <c r="B3" s="8" t="s">
        <v>443</v>
      </c>
      <c r="C3" s="10" t="n">
        <f aca="false">LEN(B3)</f>
        <v>23</v>
      </c>
      <c r="D3" s="8" t="s">
        <v>444</v>
      </c>
      <c r="E3" s="10" t="n">
        <f aca="false">LEN(D3)</f>
        <v>41</v>
      </c>
      <c r="F3" s="8" t="s">
        <v>445</v>
      </c>
      <c r="G3" s="8" t="str">
        <f aca="false">Настройки!$B$2&amp;"?"&amp;Настройки!$B$3&amp;F3</f>
        <v>https://renal-auto.asia:8443/port?utm_source=yandex&amp;utm_medium=cpc&amp;utm_campaign={campaign_id}&amp;utm_content={ad_id}&amp;utm_term={keyword}#route</v>
      </c>
    </row>
    <row r="4" customFormat="false" ht="15" hidden="false" customHeight="false" outlineLevel="0" collapsed="false">
      <c r="A4" s="8" t="s">
        <v>439</v>
      </c>
      <c r="B4" s="8" t="s">
        <v>446</v>
      </c>
      <c r="C4" s="10" t="n">
        <f aca="false">LEN(B4)</f>
        <v>15</v>
      </c>
      <c r="D4" s="8" t="s">
        <v>447</v>
      </c>
      <c r="E4" s="10" t="n">
        <f aca="false">LEN(D4)</f>
        <v>38</v>
      </c>
      <c r="F4" s="8" t="s">
        <v>448</v>
      </c>
      <c r="G4" s="8" t="str">
        <f aca="false">Настройки!$B$2&amp;"?"&amp;Настройки!$B$3&amp;F4</f>
        <v>https://renal-auto.asia:8443/port?utm_source=yandex&amp;utm_medium=cpc&amp;utm_campaign={campaign_id}&amp;utm_content={ad_id}&amp;utm_term={keyword}#vydachi</v>
      </c>
    </row>
    <row r="5" customFormat="false" ht="15" hidden="false" customHeight="false" outlineLevel="0" collapsed="false">
      <c r="A5" s="8" t="s">
        <v>439</v>
      </c>
      <c r="B5" s="8" t="s">
        <v>449</v>
      </c>
      <c r="C5" s="10" t="n">
        <f aca="false">LEN(B5)</f>
        <v>13</v>
      </c>
      <c r="D5" s="8" t="s">
        <v>450</v>
      </c>
      <c r="E5" s="10" t="n">
        <f aca="false">LEN(D5)</f>
        <v>37</v>
      </c>
      <c r="F5" s="8" t="s">
        <v>448</v>
      </c>
      <c r="G5" s="8" t="str">
        <f aca="false">Настройки!$B$2&amp;"?"&amp;Настройки!$B$3&amp;F5</f>
        <v>https://renal-auto.asia:8443/port?utm_source=yandex&amp;utm_medium=cpc&amp;utm_campaign={campaign_id}&amp;utm_content={ad_id}&amp;utm_term={keyword}#vydachi</v>
      </c>
    </row>
    <row r="6" customFormat="false" ht="15" hidden="false" customHeight="false" outlineLevel="0" collapsed="false">
      <c r="A6" s="8" t="s">
        <v>451</v>
      </c>
      <c r="B6" s="8" t="s">
        <v>57</v>
      </c>
      <c r="C6" s="10" t="n">
        <f aca="false">LEN(B6)</f>
        <v>17</v>
      </c>
    </row>
    <row r="7" customFormat="false" ht="15" hidden="false" customHeight="false" outlineLevel="0" collapsed="false">
      <c r="A7" s="8" t="s">
        <v>451</v>
      </c>
      <c r="B7" s="8" t="s">
        <v>51</v>
      </c>
      <c r="C7" s="10" t="n">
        <f aca="false">LEN(B7)</f>
        <v>20</v>
      </c>
    </row>
    <row r="8" customFormat="false" ht="15" hidden="false" customHeight="false" outlineLevel="0" collapsed="false">
      <c r="A8" s="8" t="s">
        <v>451</v>
      </c>
      <c r="B8" s="8" t="s">
        <v>452</v>
      </c>
      <c r="C8" s="10" t="n">
        <f aca="false">LEN(B8)</f>
        <v>22</v>
      </c>
    </row>
    <row r="9" customFormat="false" ht="15" hidden="false" customHeight="false" outlineLevel="0" collapsed="false">
      <c r="A9" s="8" t="s">
        <v>451</v>
      </c>
      <c r="B9" s="8" t="s">
        <v>453</v>
      </c>
      <c r="C9" s="10" t="n">
        <f aca="false">LEN(B9)</f>
        <v>16</v>
      </c>
    </row>
  </sheetData>
  <conditionalFormatting sqref="C2:C5">
    <cfRule type="expression" priority="2" aboveAverage="0" equalAverage="0" bottom="0" percent="0" rank="0" text="" dxfId="0">
      <formula>C2&gt;30</formula>
    </cfRule>
  </conditionalFormatting>
  <conditionalFormatting sqref="E2:E5">
    <cfRule type="expression" priority="3" aboveAverage="0" equalAverage="0" bottom="0" percent="0" rank="0" text="" dxfId="0">
      <formula>E2&gt;60</formula>
    </cfRule>
  </conditionalFormatting>
  <conditionalFormatting sqref="C6:C9">
    <cfRule type="expression" priority="4" aboveAverage="0" equalAverage="0" bottom="0" percent="0" rank="0" text="" dxfId="0">
      <formula>C6&gt;25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2026-10-21T18:12:38Z</dcterms:created>
  <dc:creator>openpyxl</dc:creator>
  <dc:description/>
  <dc:language>en-US</dc:language>
  <cp:lastModifiedBy/>
  <dcterms:modified xsi:type="dcterms:W3CDTF">2026-10-21T18:12:38Z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